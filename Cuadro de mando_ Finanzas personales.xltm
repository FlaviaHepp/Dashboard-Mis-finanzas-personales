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refreshAllConnections="1"/>
  <mc:AlternateContent xmlns:mc="http://schemas.openxmlformats.org/markup-compatibility/2006">
    <mc:Choice Requires="x15">
      <x15ac:absPath xmlns:x15ac="http://schemas.microsoft.com/office/spreadsheetml/2010/11/ac" url="C:\Users\Flavia\Desktop\"/>
    </mc:Choice>
  </mc:AlternateContent>
  <bookViews>
    <workbookView xWindow="0" yWindow="0" windowWidth="23040" windowHeight="8496" tabRatio="575" activeTab="5"/>
  </bookViews>
  <sheets>
    <sheet name="Inicio" sheetId="5" r:id="rId1"/>
    <sheet name="Configurar" sheetId="3" r:id="rId2"/>
    <sheet name="Diario" sheetId="2" r:id="rId3"/>
    <sheet name="Seguimiento mensual" sheetId="4" r:id="rId4"/>
    <sheet name="Hoja1" sheetId="6" state="hidden" r:id="rId5"/>
    <sheet name="Dashboard" sheetId="7" r:id="rId6"/>
  </sheets>
  <definedNames>
    <definedName name="SegmentacionDeDatos_Ano">#N/A</definedName>
    <definedName name="SegmentacionDeDatos_Ano_Mes1">#N/A</definedName>
    <definedName name="SegmentacionDeDatos_Ano1">#N/A</definedName>
    <definedName name="SegmentacionDeDatos_Ano2">#N/A</definedName>
    <definedName name="SegmentacionDeDatos_Fecha">#N/A</definedName>
    <definedName name="SegmentacionDeDatos_Ingreso_o_gasto1">#N/A</definedName>
    <definedName name="SegmentacionDeDatos_Meses__Fecha">#N/A</definedName>
    <definedName name="SegmentacionDeDatos_Tipo_de_movimiento">#N/A</definedName>
    <definedName name="SegmentacionDeDatos_Tipo_de_movimiento1">#N/A</definedName>
    <definedName name="zoom">Configurar!$I$4</definedName>
  </definedNames>
  <calcPr calcId="162913"/>
  <pivotCaches>
    <pivotCache cacheId="7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3"/>
        <x14:slicerCache r:id="rId14"/>
        <x14:slicerCache r:id="rId15"/>
        <x14:slicerCache r:id="rId16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3" l="1"/>
  <c r="I9" i="2" l="1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I6" i="2"/>
  <c r="J6" i="2"/>
  <c r="I7" i="2"/>
  <c r="J7" i="2"/>
  <c r="I8" i="2"/>
  <c r="J8" i="2"/>
  <c r="I28" i="3"/>
  <c r="F16" i="3"/>
  <c r="F12" i="3"/>
  <c r="I23" i="3"/>
  <c r="I25" i="3"/>
  <c r="I12" i="3"/>
  <c r="I11" i="3"/>
  <c r="I22" i="3"/>
  <c r="I21" i="3"/>
  <c r="I19" i="3"/>
  <c r="I32" i="3"/>
  <c r="I31" i="3"/>
  <c r="I14" i="3"/>
  <c r="I27" i="3"/>
  <c r="I33" i="3"/>
  <c r="I24" i="3"/>
  <c r="I17" i="3"/>
  <c r="I16" i="3"/>
  <c r="I30" i="3"/>
  <c r="I26" i="3"/>
  <c r="I18" i="3"/>
  <c r="I29" i="3"/>
  <c r="I20" i="3"/>
  <c r="I15" i="3"/>
  <c r="I13" i="3"/>
  <c r="F13" i="3"/>
  <c r="F14" i="3"/>
  <c r="F15" i="3"/>
</calcChain>
</file>

<file path=xl/sharedStrings.xml><?xml version="1.0" encoding="utf-8"?>
<sst xmlns="http://schemas.openxmlformats.org/spreadsheetml/2006/main" count="498" uniqueCount="67">
  <si>
    <t>Ahorro</t>
  </si>
  <si>
    <t>Alquiler</t>
  </si>
  <si>
    <t>Agua</t>
  </si>
  <si>
    <t>Luz</t>
  </si>
  <si>
    <t>Internet</t>
  </si>
  <si>
    <t>Gasolina</t>
  </si>
  <si>
    <t>Spotify</t>
  </si>
  <si>
    <t>Comida</t>
  </si>
  <si>
    <t>Regalos</t>
  </si>
  <si>
    <t xml:space="preserve">Vacaciones </t>
  </si>
  <si>
    <t xml:space="preserve">Otros </t>
  </si>
  <si>
    <t>Seguro coche</t>
  </si>
  <si>
    <t>Fondo de contingencia</t>
  </si>
  <si>
    <t>Tipo de movimiento</t>
  </si>
  <si>
    <t>Ingreso o gasto</t>
  </si>
  <si>
    <t>Observaciones</t>
  </si>
  <si>
    <t>Mi nómina</t>
  </si>
  <si>
    <t>Otros ingresos</t>
  </si>
  <si>
    <t>Fecha</t>
  </si>
  <si>
    <t>Ingresos y gastos</t>
  </si>
  <si>
    <t>ene</t>
  </si>
  <si>
    <t>Meses</t>
  </si>
  <si>
    <t>Nmes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</si>
  <si>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</si>
  <si>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</si>
  <si>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</si>
  <si>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</si>
  <si>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</si>
  <si>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</si>
  <si>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</si>
  <si>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</si>
  <si>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</si>
  <si>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</si>
  <si>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</si>
  <si>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Mi configuración</t>
  </si>
  <si>
    <t>01. Cobros</t>
  </si>
  <si>
    <t>02. Pagos esenciales</t>
  </si>
  <si>
    <t>03. Pagos secundarios</t>
  </si>
  <si>
    <t>Importe      .</t>
  </si>
  <si>
    <t>Suma de Importe      .</t>
  </si>
  <si>
    <t>00. Saldo inicial</t>
  </si>
  <si>
    <t>Saldo inicial</t>
  </si>
  <si>
    <t>Donación protectora animal</t>
  </si>
  <si>
    <t>Gimnasio</t>
  </si>
  <si>
    <t>Donación a ONG</t>
  </si>
  <si>
    <t>Seguro salud</t>
  </si>
  <si>
    <t>Año</t>
  </si>
  <si>
    <t>Cumpleaños</t>
  </si>
  <si>
    <t>Clases particulares de repaso</t>
  </si>
  <si>
    <t>Etiquetas de fila</t>
  </si>
  <si>
    <t>Total general</t>
  </si>
  <si>
    <t>Promedio de Importe      .</t>
  </si>
  <si>
    <t>Mi seguimiento mensual</t>
  </si>
  <si>
    <t>%</t>
  </si>
  <si>
    <t>Mi diario de finanzas personales</t>
  </si>
  <si>
    <t>Seg</t>
  </si>
  <si>
    <t xml:space="preserve">05. Fondo de contingencia </t>
  </si>
  <si>
    <t>Ropa y calzado</t>
  </si>
  <si>
    <t xml:space="preserve">Préstamo coche </t>
  </si>
  <si>
    <t>Categ. de ingresos o gastos</t>
  </si>
  <si>
    <t>Year-Month</t>
  </si>
  <si>
    <t>Alquiler + fianza</t>
  </si>
  <si>
    <t xml:space="preserve">Regalos de Navidad para la familia </t>
  </si>
  <si>
    <t>sept</t>
  </si>
  <si>
    <t>Mis Finanzas</t>
  </si>
  <si>
    <t>Ahorro mensual</t>
  </si>
  <si>
    <t>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</si>
</sst>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0\ &quot;€&quot;"/>
    <numFmt numFmtId="165" formatCode="[Color10]#,##0.00;[Color9]\-#,##0.00"/>
    <numFmt numFmtId="166" formatCode="dd/mm/yyyy"/>
  </numFmts>
  <fonts count="19" x14ac:knownFonts="1">
    <font>
      <sz val="11"/>
      <color indexed="8"/>
      <name val="Calibri"/>
      <family val="2"/>
      <charset val="1"/>
    </font>
    <font>
      <sz val="8"/>
      <name val="Calibri"/>
      <family val="2"/>
      <charset val="1"/>
    </font>
    <font>
      <sz val="11"/>
      <color theme="1" tint="0.499984740745262"/>
      <name val="Calibri"/>
      <family val="2"/>
      <charset val="1"/>
    </font>
    <font>
      <b/>
      <sz val="18"/>
      <color theme="0"/>
      <name val="Calibri"/>
      <family val="2"/>
    </font>
    <font>
      <sz val="18"/>
      <color indexed="8"/>
      <name val="Calibri"/>
      <family val="2"/>
    </font>
    <font>
      <b/>
      <sz val="18"/>
      <color rgb="FFCFAFE7"/>
      <name val="Calibri"/>
      <family val="2"/>
    </font>
    <font>
      <sz val="10"/>
      <color indexed="8"/>
      <name val="Calibri"/>
      <family val="2"/>
      <charset val="1"/>
    </font>
    <font>
      <sz val="10"/>
      <color theme="4" tint="0.79998168889431442"/>
      <name val="Calibri"/>
      <family val="2"/>
      <charset val="1"/>
    </font>
    <font>
      <b/>
      <sz val="10"/>
      <color rgb="FF4A206A"/>
      <name val="Calibri"/>
      <family val="2"/>
      <charset val="1"/>
    </font>
    <font>
      <sz val="10"/>
      <color theme="0"/>
      <name val="Calibri"/>
      <family val="2"/>
      <charset val="1"/>
    </font>
    <font>
      <sz val="12"/>
      <color indexed="8"/>
      <name val="Calibri"/>
      <family val="2"/>
      <charset val="1"/>
    </font>
    <font>
      <sz val="12"/>
      <color theme="1"/>
      <name val="Calibri"/>
      <family val="2"/>
      <charset val="1"/>
    </font>
    <font>
      <b/>
      <sz val="11"/>
      <color theme="0"/>
      <name val="Calibri"/>
      <family val="2"/>
    </font>
    <font>
      <b/>
      <sz val="10"/>
      <color theme="0"/>
      <name val="Calibri"/>
      <family val="2"/>
      <charset val="1"/>
    </font>
    <font>
      <b/>
      <sz val="12"/>
      <name val="Calibri"/>
      <family val="2"/>
      <charset val="1"/>
    </font>
    <font>
      <sz val="12"/>
      <name val="Calibri"/>
      <family val="2"/>
      <charset val="1"/>
    </font>
    <font>
      <b/>
      <sz val="11"/>
      <name val="Calibri"/>
      <family val="2"/>
    </font>
    <font>
      <b/>
      <sz val="11"/>
      <color indexed="8"/>
      <name val="Calibri"/>
      <family val="2"/>
    </font>
    <font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4A206A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9" fillId="0" borderId="0" xfId="0" applyFont="1" applyAlignment="1">
      <alignment horizontal="left" vertical="center"/>
    </xf>
    <xf numFmtId="0" fontId="7" fillId="0" borderId="0" xfId="0" pivotButton="1" applyFont="1" applyAlignment="1">
      <alignment horizontal="left"/>
    </xf>
    <xf numFmtId="0" fontId="4" fillId="0" borderId="0" xfId="0" applyFont="1" applyAlignment="1">
      <alignment horizontal="right"/>
    </xf>
    <xf numFmtId="165" fontId="6" fillId="0" borderId="0" xfId="0" applyNumberFormat="1" applyFont="1" applyAlignment="1">
      <alignment horizontal="right" vertical="center"/>
    </xf>
    <xf numFmtId="165" fontId="6" fillId="2" borderId="0" xfId="0" applyNumberFormat="1" applyFont="1" applyFill="1" applyAlignment="1">
      <alignment horizontal="right" vertical="center"/>
    </xf>
    <xf numFmtId="165" fontId="6" fillId="0" borderId="0" xfId="0" applyNumberFormat="1" applyFont="1" applyAlignment="1">
      <alignment horizontal="right"/>
    </xf>
    <xf numFmtId="165" fontId="6" fillId="2" borderId="0" xfId="0" applyNumberFormat="1" applyFont="1" applyFill="1" applyAlignment="1">
      <alignment horizontal="right"/>
    </xf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10" fillId="0" borderId="0" xfId="0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0" fillId="0" borderId="1" xfId="0" pivotButton="1" applyBorder="1"/>
    <xf numFmtId="0" fontId="0" fillId="0" borderId="2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 indent="1"/>
    </xf>
    <xf numFmtId="0" fontId="6" fillId="0" borderId="0" xfId="0" applyFont="1" applyAlignment="1">
      <alignment horizontal="left" indent="1"/>
    </xf>
    <xf numFmtId="4" fontId="0" fillId="0" borderId="0" xfId="0" applyNumberFormat="1"/>
    <xf numFmtId="0" fontId="2" fillId="2" borderId="0" xfId="0" applyFont="1" applyFill="1" applyAlignment="1">
      <alignment horizontal="center"/>
    </xf>
    <xf numFmtId="0" fontId="0" fillId="0" borderId="2" xfId="0" applyNumberFormat="1" applyBorder="1"/>
    <xf numFmtId="0" fontId="0" fillId="0" borderId="4" xfId="0" applyNumberFormat="1" applyBorder="1"/>
    <xf numFmtId="0" fontId="0" fillId="0" borderId="6" xfId="0" applyNumberFormat="1" applyBorder="1"/>
    <xf numFmtId="166" fontId="0" fillId="0" borderId="0" xfId="0" applyNumberFormat="1" applyAlignment="1">
      <alignment horizontal="center"/>
    </xf>
    <xf numFmtId="0" fontId="0" fillId="0" borderId="0" xfId="0" applyFill="1"/>
    <xf numFmtId="4" fontId="0" fillId="0" borderId="0" xfId="0" applyNumberFormat="1" applyAlignment="1"/>
    <xf numFmtId="0" fontId="2" fillId="2" borderId="0" xfId="0" applyNumberFormat="1" applyFont="1" applyFill="1" applyAlignment="1">
      <alignment horizontal="center"/>
    </xf>
    <xf numFmtId="0" fontId="5" fillId="4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4" fillId="4" borderId="0" xfId="0" applyFont="1" applyFill="1"/>
    <xf numFmtId="0" fontId="0" fillId="4" borderId="0" xfId="0" applyFill="1"/>
    <xf numFmtId="0" fontId="0" fillId="5" borderId="0" xfId="0" applyFill="1"/>
    <xf numFmtId="0" fontId="3" fillId="6" borderId="0" xfId="0" applyFont="1" applyFill="1" applyAlignment="1" applyProtection="1">
      <alignment vertical="center"/>
      <protection locked="0"/>
    </xf>
    <xf numFmtId="0" fontId="4" fillId="6" borderId="0" xfId="0" applyFont="1" applyFill="1" applyProtection="1">
      <protection locked="0"/>
    </xf>
    <xf numFmtId="0" fontId="0" fillId="5" borderId="0" xfId="0" applyFill="1" applyProtection="1">
      <protection locked="0"/>
    </xf>
    <xf numFmtId="0" fontId="12" fillId="5" borderId="0" xfId="0" applyFont="1" applyFill="1" applyAlignment="1" applyProtection="1">
      <alignment horizontal="right" wrapText="1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4" fillId="5" borderId="0" xfId="0" applyFont="1" applyFill="1" applyProtection="1">
      <protection locked="0"/>
    </xf>
    <xf numFmtId="0" fontId="15" fillId="0" borderId="0" xfId="0" applyFont="1" applyProtection="1">
      <protection locked="0"/>
    </xf>
    <xf numFmtId="0" fontId="15" fillId="0" borderId="0" xfId="0" applyFont="1"/>
    <xf numFmtId="0" fontId="15" fillId="5" borderId="0" xfId="0" applyFont="1" applyFill="1" applyProtection="1">
      <protection locked="0"/>
    </xf>
    <xf numFmtId="0" fontId="14" fillId="0" borderId="0" xfId="0" applyFont="1" applyProtection="1">
      <protection locked="0"/>
    </xf>
    <xf numFmtId="0" fontId="16" fillId="5" borderId="0" xfId="0" applyFont="1" applyFill="1" applyProtection="1">
      <protection locked="0"/>
    </xf>
    <xf numFmtId="0" fontId="3" fillId="6" borderId="0" xfId="0" applyFont="1" applyFill="1" applyAlignment="1">
      <alignment vertical="center"/>
    </xf>
    <xf numFmtId="0" fontId="4" fillId="6" borderId="0" xfId="0" applyFont="1" applyFill="1"/>
    <xf numFmtId="0" fontId="4" fillId="6" borderId="0" xfId="0" applyFont="1" applyFill="1" applyAlignment="1">
      <alignment horizontal="left"/>
    </xf>
    <xf numFmtId="0" fontId="3" fillId="6" borderId="0" xfId="0" applyFont="1" applyFill="1" applyAlignment="1">
      <alignment horizontal="right" vertical="center"/>
    </xf>
    <xf numFmtId="0" fontId="4" fillId="6" borderId="0" xfId="0" applyFont="1" applyFill="1" applyAlignment="1">
      <alignment horizontal="right"/>
    </xf>
    <xf numFmtId="0" fontId="6" fillId="5" borderId="0" xfId="0" applyFont="1" applyFill="1"/>
    <xf numFmtId="0" fontId="6" fillId="5" borderId="0" xfId="0" applyFont="1" applyFill="1" applyAlignment="1">
      <alignment horizontal="right"/>
    </xf>
    <xf numFmtId="0" fontId="6" fillId="5" borderId="0" xfId="0" applyFont="1" applyFill="1" applyAlignment="1">
      <alignment horizontal="left"/>
    </xf>
    <xf numFmtId="0" fontId="13" fillId="5" borderId="0" xfId="0" applyFont="1" applyFill="1" applyAlignment="1">
      <alignment horizontal="right"/>
    </xf>
    <xf numFmtId="0" fontId="3" fillId="4" borderId="0" xfId="0" applyFont="1" applyFill="1"/>
    <xf numFmtId="0" fontId="5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righ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right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right"/>
    </xf>
    <xf numFmtId="0" fontId="17" fillId="7" borderId="0" xfId="0" applyFont="1" applyFill="1" applyAlignment="1">
      <alignment horizontal="right"/>
    </xf>
    <xf numFmtId="0" fontId="3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right" vertical="center"/>
    </xf>
    <xf numFmtId="0" fontId="18" fillId="0" borderId="0" xfId="0" applyFont="1" applyFill="1" applyProtection="1">
      <protection locked="0"/>
    </xf>
    <xf numFmtId="0" fontId="18" fillId="0" borderId="0" xfId="0" applyNumberFormat="1" applyFont="1" applyFill="1" applyProtection="1"/>
    <xf numFmtId="0" fontId="8" fillId="3" borderId="0" xfId="0" applyFont="1" applyFill="1" applyAlignment="1">
      <alignment horizontal="left"/>
    </xf>
  </cellXfs>
  <cellStyles count="1">
    <cellStyle name="Normal" xfId="0" builtinId="0"/>
  </cellStyles>
  <dxfs count="475">
    <dxf>
      <font>
        <color theme="4" tint="0.79998168889431442"/>
      </font>
    </dxf>
    <dxf>
      <alignment horizontal="right"/>
    </dxf>
    <dxf>
      <alignment horizontal="right"/>
    </dxf>
    <dxf>
      <alignment horizontal="right"/>
    </dxf>
    <dxf>
      <font>
        <color theme="0"/>
      </font>
    </dxf>
    <dxf>
      <font>
        <b/>
      </font>
    </dxf>
    <dxf>
      <fill>
        <patternFill patternType="solid">
          <bgColor theme="0" tint="-0.14999847407452621"/>
        </patternFill>
      </fill>
    </dxf>
    <dxf>
      <fill>
        <patternFill>
          <bgColor rgb="FF4A206A"/>
        </patternFill>
      </fill>
    </dxf>
    <dxf>
      <font>
        <color rgb="FF4A206A"/>
      </font>
    </dxf>
    <dxf>
      <font>
        <color theme="0"/>
      </font>
    </dxf>
    <dxf>
      <alignment horizontal="right"/>
    </dxf>
    <dxf>
      <alignment horizontal="right"/>
    </dxf>
    <dxf>
      <alignment horizontal="right"/>
    </dxf>
    <dxf>
      <alignment vertical="bottom"/>
    </dxf>
    <dxf>
      <alignment vertical="bottom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5" formatCode="[Color10]#,##0.00;[Color9]\-#,##0.00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font>
        <color theme="4" tint="0.79998168889431442"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color theme="0"/>
      </font>
    </dxf>
    <dxf>
      <font>
        <b/>
      </font>
    </dxf>
    <dxf>
      <fill>
        <patternFill patternType="solid">
          <bgColor theme="0" tint="-0.14999847407452621"/>
        </patternFill>
      </fill>
    </dxf>
    <dxf>
      <fill>
        <patternFill>
          <bgColor rgb="FF4A206A"/>
        </patternFill>
      </fill>
    </dxf>
    <dxf>
      <font>
        <color rgb="FF4A206A"/>
      </font>
    </dxf>
    <dxf>
      <alignment vertical="center"/>
    </dxf>
    <dxf>
      <alignment vertical="center"/>
    </dxf>
    <dxf>
      <alignment horizontal="right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indent="0"/>
    </dxf>
    <dxf>
      <alignment indent="0"/>
    </dxf>
    <dxf>
      <alignment horizontal="right"/>
    </dxf>
    <dxf>
      <numFmt numFmtId="165" formatCode="[Color10]#,##0.00;[Color9]\-#,##0.00"/>
    </dxf>
    <dxf>
      <alignment horizontal="right"/>
    </dxf>
    <dxf>
      <alignment horizontal="righ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fill>
        <patternFill>
          <bgColor rgb="FF0070C0"/>
        </patternFill>
      </fill>
    </dxf>
    <dxf>
      <fill>
        <patternFill>
          <bgColor theme="8" tint="-0.249977111117893"/>
        </patternFill>
      </fill>
    </dxf>
    <dxf>
      <font>
        <color auto="1"/>
      </font>
    </dxf>
    <dxf>
      <font>
        <color theme="0"/>
      </font>
    </dxf>
    <dxf>
      <alignment wrapText="1" readingOrder="0"/>
    </dxf>
    <dxf>
      <alignment wrapText="0" readingOrder="0"/>
    </dxf>
    <dxf>
      <fill>
        <patternFill>
          <bgColor theme="4" tint="0.39997558519241921"/>
        </patternFill>
      </fill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color theme="4" tint="0.79998168889431442"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color theme="0"/>
      </font>
    </dxf>
    <dxf>
      <font>
        <b/>
      </font>
    </dxf>
    <dxf>
      <fill>
        <patternFill patternType="solid">
          <bgColor theme="0" tint="-0.14999847407452621"/>
        </patternFill>
      </fill>
    </dxf>
    <dxf>
      <fill>
        <patternFill>
          <bgColor rgb="FF4A206A"/>
        </patternFill>
      </fill>
    </dxf>
    <dxf>
      <font>
        <color rgb="FF4A206A"/>
      </font>
    </dxf>
    <dxf>
      <font>
        <color theme="0"/>
      </font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5" formatCode="[Color10]#,##0.00;[Color9]\-#,##0.00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/>
    </dxf>
    <dxf>
      <alignment horizontal="left"/>
    </dxf>
    <dxf>
      <alignment horizontal="left"/>
    </dxf>
    <dxf>
      <alignment horizontal="left"/>
    </dxf>
    <dxf>
      <numFmt numFmtId="165" formatCode="[Color10]#,##0.00;[Color9]\-#,##0.0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vertical="center"/>
    </dxf>
    <dxf>
      <alignment vertical="center"/>
    </dxf>
    <dxf>
      <font>
        <color theme="0"/>
      </font>
    </dxf>
    <dxf>
      <font>
        <color rgb="FF4A206A"/>
      </font>
    </dxf>
    <dxf>
      <fill>
        <patternFill>
          <bgColor rgb="FF4A206A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color theme="0"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color theme="4" tint="0.79998168889431442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fill>
        <patternFill>
          <bgColor theme="4" tint="0.39997558519241921"/>
        </patternFill>
      </fill>
    </dxf>
    <dxf>
      <alignment wrapText="0" readingOrder="0"/>
    </dxf>
    <dxf>
      <alignment wrapText="1" readingOrder="0"/>
    </dxf>
    <dxf>
      <font>
        <color theme="0"/>
      </font>
    </dxf>
    <dxf>
      <font>
        <color auto="1"/>
      </font>
    </dxf>
    <dxf>
      <fill>
        <patternFill>
          <bgColor theme="8" tint="-0.249977111117893"/>
        </patternFill>
      </fill>
    </dxf>
    <dxf>
      <fill>
        <patternFill>
          <bgColor rgb="FF0070C0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right"/>
    </dxf>
    <dxf>
      <numFmt numFmtId="165" formatCode="[Color10]#,##0.00;[Color9]\-#,##0.00"/>
    </dxf>
    <dxf>
      <alignment horizontal="right"/>
    </dxf>
    <dxf>
      <alignment indent="0"/>
    </dxf>
    <dxf>
      <alignment indent="0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right"/>
    </dxf>
    <dxf>
      <alignment vertical="center"/>
    </dxf>
    <dxf>
      <alignment vertical="center"/>
    </dxf>
    <dxf>
      <font>
        <color rgb="FF4A206A"/>
      </font>
    </dxf>
    <dxf>
      <fill>
        <patternFill>
          <bgColor rgb="FF4A206A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color theme="0"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color theme="4" tint="0.79998168889431442"/>
      </font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/>
    </dxf>
    <dxf>
      <alignment horizontal="left"/>
    </dxf>
    <dxf>
      <alignment horizontal="left"/>
    </dxf>
    <dxf>
      <alignment horizontal="left"/>
    </dxf>
    <dxf>
      <numFmt numFmtId="165" formatCode="[Color10]#,##0.00;[Color9]\-#,##0.0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vertical="bottom"/>
    </dxf>
    <dxf>
      <alignment vertical="bottom"/>
    </dxf>
    <dxf>
      <alignment horizontal="right"/>
    </dxf>
    <dxf>
      <alignment horizontal="right"/>
    </dxf>
    <dxf>
      <alignment horizontal="right"/>
    </dxf>
    <dxf>
      <font>
        <color theme="0"/>
      </font>
    </dxf>
    <dxf>
      <font>
        <color rgb="FF4A206A"/>
      </font>
    </dxf>
    <dxf>
      <fill>
        <patternFill>
          <bgColor rgb="FF4A206A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color theme="0"/>
      </font>
    </dxf>
    <dxf>
      <alignment horizontal="right"/>
    </dxf>
    <dxf>
      <alignment horizontal="right"/>
    </dxf>
    <dxf>
      <alignment horizontal="right"/>
    </dxf>
    <dxf>
      <font>
        <color theme="4" tint="0.79998168889431442"/>
      </font>
    </dxf>
    <dxf>
      <font>
        <color theme="1" tint="0.499984740745262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numFmt numFmtId="164" formatCode="#,##0.00\ &quot;€&quot;"/>
    </dxf>
    <dxf>
      <numFmt numFmtId="4" formatCode="#,##0.00"/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border diagonalUp="0" diagonalDown="0">
        <left style="thin">
          <color rgb="FF9F5FCF"/>
        </left>
        <right style="thin">
          <color rgb="FF9F5FCF"/>
        </right>
        <top style="thin">
          <color rgb="FF9F5FCF"/>
        </top>
        <bottom style="thin">
          <color rgb="FF9F5FCF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solid">
          <fgColor indexed="64"/>
          <bgColor theme="4" tint="0.39997558519241921"/>
        </patternFill>
      </fill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solid">
          <fgColor indexed="64"/>
          <bgColor theme="4" tint="0.39997558519241921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/>
        </bottom>
      </border>
    </dxf>
    <dxf>
      <font>
        <b/>
        <i val="0"/>
        <color theme="1"/>
      </font>
      <fill>
        <patternFill patternType="solid">
          <fgColor rgb="FFCFAFE7"/>
          <bgColor rgb="FFF1E8F8"/>
        </patternFill>
      </fill>
      <border>
        <bottom style="thin">
          <color theme="4" tint="0.79998168889431442"/>
        </bottom>
        <horizontal style="thin">
          <color theme="4" tint="0.39997558519241921"/>
        </horizontal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6795556505021"/>
          <bgColor theme="9"/>
        </patternFill>
      </fill>
    </dxf>
    <dxf>
      <fill>
        <patternFill>
          <bgColor theme="9"/>
        </patternFill>
      </fill>
    </dxf>
    <dxf>
      <font>
        <b/>
        <color theme="0"/>
      </font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border>
        <top style="thin">
          <color theme="4" tint="-0.249977111117893"/>
        </top>
        <bottom style="thin">
          <color theme="4" tint="-0.249977111117893"/>
        </bottom>
        <horizontal style="thin">
          <color theme="4" tint="-0.249977111117893"/>
        </horizontal>
      </border>
    </dxf>
    <dxf>
      <font>
        <b/>
        <color theme="1"/>
      </font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rgb="FF9F5FCF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  <dxf>
      <border>
        <left style="thin">
          <color rgb="FF9F5FCF"/>
        </left>
        <right style="thin">
          <color rgb="FF9F5FCF"/>
        </right>
      </border>
    </dxf>
    <dxf>
      <border>
        <left style="thin">
          <color rgb="FF9F5FCF"/>
        </left>
        <right style="thin">
          <color rgb="FF9F5FCF"/>
        </right>
      </border>
    </dxf>
    <dxf>
      <border>
        <top style="thin">
          <color rgb="FF9F5FCF"/>
        </top>
      </border>
    </dxf>
    <dxf>
      <border>
        <top style="thin">
          <color rgb="FF9F5FCF"/>
        </top>
      </border>
    </dxf>
    <dxf>
      <font>
        <b/>
        <color theme="1"/>
      </font>
      <border>
        <left style="thin">
          <color rgb="FF9F5FCF"/>
        </left>
        <right style="thin">
          <color rgb="FF9F5FCF"/>
        </right>
      </border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0"/>
      </font>
      <fill>
        <patternFill patternType="solid">
          <fgColor rgb="FF9F5FCF"/>
          <bgColor rgb="FF9F5FCF"/>
        </patternFill>
      </fill>
    </dxf>
    <dxf>
      <font>
        <color theme="1"/>
      </font>
      <border>
        <left style="thin">
          <color rgb="FF9F5FCF"/>
        </left>
        <right style="thin">
          <color rgb="FF9F5FCF"/>
        </right>
        <top style="thin">
          <color rgb="FF9F5FCF"/>
        </top>
        <bottom style="thin">
          <color rgb="FF9F5FCF"/>
        </bottom>
        <vertical style="thin">
          <color rgb="FF9F5FCF"/>
        </vertical>
        <horizontal style="thin">
          <color rgb="FF9F5FCF"/>
        </horizontal>
      </border>
    </dxf>
    <dxf>
      <font>
        <sz val="9"/>
        <color theme="0"/>
      </font>
      <border>
        <bottom style="thin">
          <color theme="4"/>
        </bottom>
        <vertical/>
        <horizontal/>
      </border>
    </dxf>
    <dxf>
      <font>
        <b/>
        <i val="0"/>
        <sz val="10"/>
        <color theme="1"/>
      </font>
      <fill>
        <patternFill>
          <bgColor rgb="FF9F5FCF"/>
        </patternFill>
      </fill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Mi estilo" pivot="0" table="0" count="10">
      <tableStyleElement type="wholeTable" dxfId="474"/>
      <tableStyleElement type="headerRow" dxfId="473"/>
    </tableStyle>
    <tableStyle name="Mi estilo tbl" pivot="0" count="9">
      <tableStyleElement type="wholeTable" dxfId="472"/>
      <tableStyleElement type="headerRow" dxfId="471"/>
      <tableStyleElement type="totalRow" dxfId="470"/>
      <tableStyleElement type="firstColumn" dxfId="469"/>
      <tableStyleElement type="lastColumn" dxfId="468"/>
      <tableStyleElement type="firstRowStripe" dxfId="467"/>
      <tableStyleElement type="secondRowStripe" dxfId="466"/>
      <tableStyleElement type="firstColumnStripe" dxfId="465"/>
      <tableStyleElement type="secondColumnStripe" dxfId="464"/>
    </tableStyle>
    <tableStyle name="Mi estilo TD" table="0" count="13">
      <tableStyleElement type="wholeTable" dxfId="463"/>
      <tableStyleElement type="headerRow" dxfId="462"/>
      <tableStyleElement type="totalRow" dxfId="461"/>
      <tableStyleElement type="firstRowStripe" dxfId="460"/>
      <tableStyleElement type="firstColumnStripe" dxfId="459"/>
      <tableStyleElement type="firstHeaderCell" dxfId="458"/>
      <tableStyleElement type="firstSubtotalRow" dxfId="457"/>
      <tableStyleElement type="secondSubtotalRow" dxfId="456"/>
      <tableStyleElement type="firstColumnSubheading" dxfId="455"/>
      <tableStyleElement type="firstRowSubheading" dxfId="454"/>
      <tableStyleElement type="secondRowSubheading" dxfId="453"/>
      <tableStyleElement type="pageFieldLabels" dxfId="452"/>
      <tableStyleElement type="pageFieldValues" dxfId="45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0CECE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BDD7EE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5E0B4"/>
      <rgbColor rgb="00FFE699"/>
      <rgbColor rgb="0099CCFF"/>
      <rgbColor rgb="00FF99CC"/>
      <rgbColor rgb="00CC99FF"/>
      <rgbColor rgb="00F4B18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15FF7F"/>
      <color rgb="FF760000"/>
      <color rgb="FF9F5FCF"/>
      <color rgb="FF4A206A"/>
      <color rgb="FFB381D9"/>
      <color rgb="FFCFAFE7"/>
      <color rgb="FFF1E8F8"/>
      <color rgb="FF552579"/>
      <color rgb="FFBD92DE"/>
      <color rgb="FFFF4B4B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CFAFE7"/>
          </font>
          <fill>
            <patternFill patternType="solid">
              <fgColor rgb="FFFFFFFF"/>
              <bgColor rgb="FF9F5FC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9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microsoft.com/office/2007/relationships/slicerCache" Target="slicerCaches/slicerCache8.xml"/><Relationship Id="rId10" Type="http://schemas.microsoft.com/office/2007/relationships/slicerCache" Target="slicerCaches/slicerCache3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[Cuadro de mando_ Finanzas personales.xltm]Hoja1!td_SaldoInvertido</c:name>
    <c:fmtId val="5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2564967840558391"/>
          <c:y val="0.21316111111111113"/>
          <c:w val="0.83905466677776375"/>
          <c:h val="0.521723884277998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Hoja1!$F$6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Hoja1!$E$7:$E$10</c:f>
              <c:multiLvlStrCache>
                <c:ptCount val="2"/>
                <c:lvl>
                  <c:pt idx="0">
                    <c:v>nov</c:v>
                  </c:pt>
                  <c:pt idx="1">
                    <c:v>dic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Hoja1!$F$7:$F$10</c:f>
              <c:numCache>
                <c:formatCode>General</c:formatCode>
                <c:ptCount val="2"/>
                <c:pt idx="0">
                  <c:v>2000</c:v>
                </c:pt>
                <c:pt idx="1">
                  <c:v>-392.97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14-4EA9-A779-CABF1CE39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2144208"/>
        <c:axId val="1612140880"/>
      </c:barChart>
      <c:catAx>
        <c:axId val="161214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ln>
                  <a:noFill/>
                </a:ln>
                <a:solidFill>
                  <a:schemeClr val="tx1"/>
                </a:solidFill>
                <a:effectLst>
                  <a:outerShdw blurRad="25400" dist="12700" dir="5400000" algn="ctr" rotWithShape="0">
                    <a:schemeClr val="bg1"/>
                  </a:outerShdw>
                </a:effectLst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12140880"/>
        <c:crosses val="autoZero"/>
        <c:auto val="1"/>
        <c:lblAlgn val="ctr"/>
        <c:lblOffset val="10"/>
        <c:noMultiLvlLbl val="0"/>
      </c:catAx>
      <c:valAx>
        <c:axId val="16121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1214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[Cuadro de mando_ Finanzas personales.xltm]Hoja1!TablaDinamica1</c:name>
    <c:fmtId val="9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1.7525535434712219E-2"/>
          <c:y val="0.10196325459317586"/>
          <c:w val="0.62606628642560103"/>
          <c:h val="0.8717474872812722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Hoja1!$V$6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Hoja1!$U$7:$U$19</c:f>
              <c:strCache>
                <c:ptCount val="12"/>
                <c:pt idx="0">
                  <c:v>Alquiler</c:v>
                </c:pt>
                <c:pt idx="1">
                  <c:v>Comida</c:v>
                </c:pt>
                <c:pt idx="2">
                  <c:v>Donación a ONG</c:v>
                </c:pt>
                <c:pt idx="3">
                  <c:v>Gasolina</c:v>
                </c:pt>
                <c:pt idx="4">
                  <c:v>Gimnasio</c:v>
                </c:pt>
                <c:pt idx="5">
                  <c:v>Internet</c:v>
                </c:pt>
                <c:pt idx="6">
                  <c:v>Luz</c:v>
                </c:pt>
                <c:pt idx="7">
                  <c:v>Mi nómina</c:v>
                </c:pt>
                <c:pt idx="8">
                  <c:v>Otros </c:v>
                </c:pt>
                <c:pt idx="9">
                  <c:v>Regalos</c:v>
                </c:pt>
                <c:pt idx="10">
                  <c:v>Spotify</c:v>
                </c:pt>
                <c:pt idx="11">
                  <c:v>Vacaciones </c:v>
                </c:pt>
              </c:strCache>
            </c:strRef>
          </c:cat>
          <c:val>
            <c:numRef>
              <c:f>Hoja1!$V$7:$V$19</c:f>
              <c:numCache>
                <c:formatCode>General</c:formatCode>
                <c:ptCount val="12"/>
                <c:pt idx="0">
                  <c:v>-800</c:v>
                </c:pt>
                <c:pt idx="1">
                  <c:v>-220</c:v>
                </c:pt>
                <c:pt idx="2">
                  <c:v>-100</c:v>
                </c:pt>
                <c:pt idx="3">
                  <c:v>-105</c:v>
                </c:pt>
                <c:pt idx="4">
                  <c:v>-40</c:v>
                </c:pt>
                <c:pt idx="5">
                  <c:v>-39.97</c:v>
                </c:pt>
                <c:pt idx="6">
                  <c:v>-70</c:v>
                </c:pt>
                <c:pt idx="7">
                  <c:v>1400</c:v>
                </c:pt>
                <c:pt idx="8">
                  <c:v>945</c:v>
                </c:pt>
                <c:pt idx="9">
                  <c:v>-155</c:v>
                </c:pt>
                <c:pt idx="10">
                  <c:v>-3</c:v>
                </c:pt>
                <c:pt idx="11">
                  <c:v>-150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13-4660-ABAA-13CB67699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3"/>
        <c:axId val="282913903"/>
        <c:axId val="282911407"/>
      </c:barChart>
      <c:catAx>
        <c:axId val="28291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19050" cap="flat" cmpd="sng" algn="ctr">
            <a:solidFill>
              <a:schemeClr val="accent2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82911407"/>
        <c:crosses val="autoZero"/>
        <c:auto val="1"/>
        <c:lblAlgn val="ctr"/>
        <c:lblOffset val="100"/>
        <c:noMultiLvlLbl val="0"/>
      </c:catAx>
      <c:valAx>
        <c:axId val="28291140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crossAx val="282913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[Cuadro de mando_ Finanzas personales.xltm]Hoja1!TablaDinamica2</c:name>
    <c:fmtId val="12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1636122272057982"/>
          <c:y val="0.22597888169421584"/>
          <c:w val="0.8836387772794202"/>
          <c:h val="0.50017374578788831"/>
        </c:manualLayout>
      </c:layout>
      <c:areaChart>
        <c:grouping val="standard"/>
        <c:varyColors val="0"/>
        <c:ser>
          <c:idx val="0"/>
          <c:order val="0"/>
          <c:tx>
            <c:strRef>
              <c:f>Hoja1!$N$6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multiLvlStrRef>
              <c:f>Hoja1!$M$7:$M$10</c:f>
              <c:multiLvlStrCache>
                <c:ptCount val="2"/>
                <c:lvl>
                  <c:pt idx="0">
                    <c:v>nov</c:v>
                  </c:pt>
                  <c:pt idx="1">
                    <c:v>dic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Hoja1!$N$7:$N$10</c:f>
              <c:numCache>
                <c:formatCode>General</c:formatCode>
                <c:ptCount val="2"/>
                <c:pt idx="0">
                  <c:v>2000</c:v>
                </c:pt>
                <c:pt idx="1">
                  <c:v>-392.97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4-4DA2-86D7-8089A0174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12700" cap="flat" cmpd="sng" algn="ctr">
              <a:solidFill>
                <a:srgbClr val="9F5FCF"/>
              </a:solidFill>
              <a:prstDash val="dash"/>
              <a:round/>
            </a:ln>
            <a:effectLst/>
          </c:spPr>
        </c:dropLines>
        <c:axId val="317948688"/>
        <c:axId val="317926928"/>
      </c:areaChart>
      <c:catAx>
        <c:axId val="317948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17926928"/>
        <c:crosses val="autoZero"/>
        <c:auto val="1"/>
        <c:lblAlgn val="ctr"/>
        <c:lblOffset val="10"/>
        <c:noMultiLvlLbl val="0"/>
      </c:catAx>
      <c:valAx>
        <c:axId val="31792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1794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  <c:extLst/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12.sv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17" Type="http://schemas.openxmlformats.org/officeDocument/2006/relationships/image" Target="../media/image16.svg"/><Relationship Id="rId2" Type="http://schemas.openxmlformats.org/officeDocument/2006/relationships/image" Target="../media/image2.svg"/><Relationship Id="rId16" Type="http://schemas.openxmlformats.org/officeDocument/2006/relationships/image" Target="../media/image9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svg"/><Relationship Id="rId5" Type="http://schemas.openxmlformats.org/officeDocument/2006/relationships/image" Target="../media/image3.png"/><Relationship Id="rId15" Type="http://schemas.openxmlformats.org/officeDocument/2006/relationships/image" Target="../media/image14.svg"/><Relationship Id="rId10" Type="http://schemas.openxmlformats.org/officeDocument/2006/relationships/image" Target="../media/image6.png"/><Relationship Id="rId4" Type="http://schemas.openxmlformats.org/officeDocument/2006/relationships/image" Target="../media/image4.svg"/><Relationship Id="rId9" Type="http://schemas.openxmlformats.org/officeDocument/2006/relationships/image" Target="../media/image8.svg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2.svg"/><Relationship Id="rId18" Type="http://schemas.openxmlformats.org/officeDocument/2006/relationships/image" Target="../media/image23.png"/><Relationship Id="rId3" Type="http://schemas.openxmlformats.org/officeDocument/2006/relationships/image" Target="../media/image11.png"/><Relationship Id="rId21" Type="http://schemas.openxmlformats.org/officeDocument/2006/relationships/image" Target="../media/image25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2.png"/><Relationship Id="rId2" Type="http://schemas.openxmlformats.org/officeDocument/2006/relationships/image" Target="../media/image18.svg"/><Relationship Id="rId16" Type="http://schemas.openxmlformats.org/officeDocument/2006/relationships/image" Target="../media/image24.svg"/><Relationship Id="rId20" Type="http://schemas.openxmlformats.org/officeDocument/2006/relationships/image" Target="../media/image24.png"/><Relationship Id="rId1" Type="http://schemas.openxmlformats.org/officeDocument/2006/relationships/image" Target="../media/image10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12.png"/><Relationship Id="rId15" Type="http://schemas.openxmlformats.org/officeDocument/2006/relationships/image" Target="../media/image21.png"/><Relationship Id="rId10" Type="http://schemas.openxmlformats.org/officeDocument/2006/relationships/image" Target="../media/image17.png"/><Relationship Id="rId19" Type="http://schemas.openxmlformats.org/officeDocument/2006/relationships/image" Target="../media/image26.svg"/><Relationship Id="rId4" Type="http://schemas.openxmlformats.org/officeDocument/2006/relationships/image" Target="../media/image20.svg"/><Relationship Id="rId9" Type="http://schemas.openxmlformats.org/officeDocument/2006/relationships/image" Target="../media/image16.png"/><Relationship Id="rId14" Type="http://schemas.openxmlformats.org/officeDocument/2006/relationships/image" Target="../media/image20.png"/><Relationship Id="rId22" Type="http://schemas.openxmlformats.org/officeDocument/2006/relationships/image" Target="../media/image2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7.svg"/><Relationship Id="rId18" Type="http://schemas.openxmlformats.org/officeDocument/2006/relationships/image" Target="../media/image34.png"/><Relationship Id="rId26" Type="http://schemas.openxmlformats.org/officeDocument/2006/relationships/image" Target="../media/image49.svg"/><Relationship Id="rId3" Type="http://schemas.openxmlformats.org/officeDocument/2006/relationships/image" Target="../media/image26.png"/><Relationship Id="rId21" Type="http://schemas.openxmlformats.org/officeDocument/2006/relationships/image" Target="../media/image45.svg"/><Relationship Id="rId7" Type="http://schemas.openxmlformats.org/officeDocument/2006/relationships/image" Target="../media/image28.png"/><Relationship Id="rId12" Type="http://schemas.openxmlformats.org/officeDocument/2006/relationships/image" Target="../media/image31.png"/><Relationship Id="rId17" Type="http://schemas.openxmlformats.org/officeDocument/2006/relationships/image" Target="../media/image41.svg"/><Relationship Id="rId25" Type="http://schemas.openxmlformats.org/officeDocument/2006/relationships/image" Target="../media/image38.png"/><Relationship Id="rId33" Type="http://schemas.openxmlformats.org/officeDocument/2006/relationships/image" Target="../media/image42.png"/><Relationship Id="rId2" Type="http://schemas.openxmlformats.org/officeDocument/2006/relationships/image" Target="../media/image24.svg"/><Relationship Id="rId16" Type="http://schemas.openxmlformats.org/officeDocument/2006/relationships/image" Target="../media/image33.png"/><Relationship Id="rId20" Type="http://schemas.openxmlformats.org/officeDocument/2006/relationships/image" Target="../media/image35.png"/><Relationship Id="rId29" Type="http://schemas.openxmlformats.org/officeDocument/2006/relationships/image" Target="../media/image40.png"/><Relationship Id="rId1" Type="http://schemas.openxmlformats.org/officeDocument/2006/relationships/image" Target="../media/image21.png"/><Relationship Id="rId6" Type="http://schemas.openxmlformats.org/officeDocument/2006/relationships/image" Target="../media/image31.svg"/><Relationship Id="rId11" Type="http://schemas.openxmlformats.org/officeDocument/2006/relationships/image" Target="../media/image35.svg"/><Relationship Id="rId24" Type="http://schemas.openxmlformats.org/officeDocument/2006/relationships/image" Target="../media/image47.svg"/><Relationship Id="rId32" Type="http://schemas.openxmlformats.org/officeDocument/2006/relationships/image" Target="../media/image55.svg"/><Relationship Id="rId5" Type="http://schemas.openxmlformats.org/officeDocument/2006/relationships/image" Target="../media/image27.png"/><Relationship Id="rId15" Type="http://schemas.openxmlformats.org/officeDocument/2006/relationships/image" Target="../media/image39.svg"/><Relationship Id="rId23" Type="http://schemas.openxmlformats.org/officeDocument/2006/relationships/image" Target="../media/image37.png"/><Relationship Id="rId28" Type="http://schemas.openxmlformats.org/officeDocument/2006/relationships/image" Target="../media/image51.svg"/><Relationship Id="rId10" Type="http://schemas.openxmlformats.org/officeDocument/2006/relationships/image" Target="../media/image30.png"/><Relationship Id="rId19" Type="http://schemas.openxmlformats.org/officeDocument/2006/relationships/image" Target="../media/image43.svg"/><Relationship Id="rId31" Type="http://schemas.openxmlformats.org/officeDocument/2006/relationships/image" Target="../media/image41.png"/><Relationship Id="rId4" Type="http://schemas.openxmlformats.org/officeDocument/2006/relationships/image" Target="../media/image29.svg"/><Relationship Id="rId9" Type="http://schemas.openxmlformats.org/officeDocument/2006/relationships/image" Target="../media/image29.png"/><Relationship Id="rId14" Type="http://schemas.openxmlformats.org/officeDocument/2006/relationships/image" Target="../media/image32.png"/><Relationship Id="rId22" Type="http://schemas.openxmlformats.org/officeDocument/2006/relationships/image" Target="../media/image36.png"/><Relationship Id="rId27" Type="http://schemas.openxmlformats.org/officeDocument/2006/relationships/image" Target="../media/image39.png"/><Relationship Id="rId30" Type="http://schemas.openxmlformats.org/officeDocument/2006/relationships/image" Target="../media/image53.svg"/><Relationship Id="rId8" Type="http://schemas.openxmlformats.org/officeDocument/2006/relationships/image" Target="../media/image33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png"/><Relationship Id="rId13" Type="http://schemas.openxmlformats.org/officeDocument/2006/relationships/image" Target="../media/image50.png"/><Relationship Id="rId18" Type="http://schemas.openxmlformats.org/officeDocument/2006/relationships/image" Target="../media/image55.png"/><Relationship Id="rId3" Type="http://schemas.openxmlformats.org/officeDocument/2006/relationships/image" Target="../media/image44.png"/><Relationship Id="rId7" Type="http://schemas.openxmlformats.org/officeDocument/2006/relationships/image" Target="../media/image41.svg"/><Relationship Id="rId12" Type="http://schemas.openxmlformats.org/officeDocument/2006/relationships/image" Target="../media/image61.svg"/><Relationship Id="rId17" Type="http://schemas.openxmlformats.org/officeDocument/2006/relationships/image" Target="../media/image54.png"/><Relationship Id="rId2" Type="http://schemas.openxmlformats.org/officeDocument/2006/relationships/image" Target="../media/image57.svg"/><Relationship Id="rId16" Type="http://schemas.openxmlformats.org/officeDocument/2006/relationships/image" Target="../media/image53.png"/><Relationship Id="rId1" Type="http://schemas.openxmlformats.org/officeDocument/2006/relationships/image" Target="../media/image43.png"/><Relationship Id="rId6" Type="http://schemas.openxmlformats.org/officeDocument/2006/relationships/image" Target="../media/image46.png"/><Relationship Id="rId11" Type="http://schemas.openxmlformats.org/officeDocument/2006/relationships/image" Target="../media/image49.png"/><Relationship Id="rId5" Type="http://schemas.openxmlformats.org/officeDocument/2006/relationships/image" Target="../media/image39.svg"/><Relationship Id="rId15" Type="http://schemas.openxmlformats.org/officeDocument/2006/relationships/image" Target="../media/image52.png"/><Relationship Id="rId10" Type="http://schemas.openxmlformats.org/officeDocument/2006/relationships/image" Target="../media/image48.png"/><Relationship Id="rId19" Type="http://schemas.openxmlformats.org/officeDocument/2006/relationships/image" Target="../media/image63.svg"/><Relationship Id="rId4" Type="http://schemas.openxmlformats.org/officeDocument/2006/relationships/image" Target="../media/image45.png"/><Relationship Id="rId9" Type="http://schemas.openxmlformats.org/officeDocument/2006/relationships/image" Target="../media/image59.svg"/><Relationship Id="rId14" Type="http://schemas.openxmlformats.org/officeDocument/2006/relationships/image" Target="../media/image5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png"/><Relationship Id="rId13" Type="http://schemas.openxmlformats.org/officeDocument/2006/relationships/image" Target="../media/image61.png"/><Relationship Id="rId18" Type="http://schemas.openxmlformats.org/officeDocument/2006/relationships/image" Target="../media/image73.svg"/><Relationship Id="rId3" Type="http://schemas.openxmlformats.org/officeDocument/2006/relationships/image" Target="../media/image56.png"/><Relationship Id="rId7" Type="http://schemas.openxmlformats.org/officeDocument/2006/relationships/chart" Target="../charts/chart3.xml"/><Relationship Id="rId12" Type="http://schemas.openxmlformats.org/officeDocument/2006/relationships/image" Target="../media/image60.png"/><Relationship Id="rId17" Type="http://schemas.microsoft.com/office/2007/relationships/hdphoto" Target="../media/hdphoto1.wdp"/><Relationship Id="rId2" Type="http://schemas.openxmlformats.org/officeDocument/2006/relationships/chart" Target="../charts/chart2.xml"/><Relationship Id="rId16" Type="http://schemas.openxmlformats.org/officeDocument/2006/relationships/image" Target="../media/image64.png"/><Relationship Id="rId1" Type="http://schemas.openxmlformats.org/officeDocument/2006/relationships/chart" Target="../charts/chart1.xml"/><Relationship Id="rId6" Type="http://schemas.openxmlformats.org/officeDocument/2006/relationships/image" Target="../media/image67.svg"/><Relationship Id="rId11" Type="http://schemas.openxmlformats.org/officeDocument/2006/relationships/image" Target="../media/image71.svg"/><Relationship Id="rId5" Type="http://schemas.openxmlformats.org/officeDocument/2006/relationships/image" Target="../media/image57.png"/><Relationship Id="rId15" Type="http://schemas.openxmlformats.org/officeDocument/2006/relationships/image" Target="../media/image63.png"/><Relationship Id="rId10" Type="http://schemas.openxmlformats.org/officeDocument/2006/relationships/image" Target="../media/image59.png"/><Relationship Id="rId4" Type="http://schemas.openxmlformats.org/officeDocument/2006/relationships/image" Target="../media/image65.svg"/><Relationship Id="rId9" Type="http://schemas.openxmlformats.org/officeDocument/2006/relationships/image" Target="../media/image69.svg"/><Relationship Id="rId14" Type="http://schemas.openxmlformats.org/officeDocument/2006/relationships/image" Target="../media/image6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28102</xdr:colOff>
      <xdr:row>19</xdr:row>
      <xdr:rowOff>7909</xdr:rowOff>
    </xdr:from>
    <xdr:to>
      <xdr:col>14</xdr:col>
      <xdr:colOff>668898</xdr:colOff>
      <xdr:row>22</xdr:row>
      <xdr:rowOff>39342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33BAC97B-4D5B-410F-8C17-56A902E7697C}"/>
            </a:ext>
          </a:extLst>
        </xdr:cNvPr>
        <xdr:cNvSpPr txBox="1"/>
      </xdr:nvSpPr>
      <xdr:spPr>
        <a:xfrm>
          <a:off x="3009841" y="3851039"/>
          <a:ext cx="7796970" cy="588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kumimoji="0" lang="es-ES" sz="1600" b="1" i="0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Esta plantilla es segura, privada, fiable e intuitiva</a:t>
          </a:r>
        </a:p>
        <a:p>
          <a:r>
            <a:rPr kumimoji="0" lang="es-ES" sz="1050" b="0" i="1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   Podemos filtrar de </a:t>
          </a:r>
          <a:r>
            <a:rPr kumimoji="0" lang="es-ES" sz="1050" b="0" i="1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forma</a:t>
          </a:r>
          <a:r>
            <a:rPr kumimoji="0" lang="es-ES" sz="1050" b="0" i="1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 instantánea y fácil con botones, sin conocimientos avanzados de Excel.</a:t>
          </a:r>
          <a:endParaRPr lang="es-ES" sz="1050" b="0" i="1">
            <a:solidFill>
              <a:srgbClr val="F1E8F8"/>
            </a:solidFill>
            <a:latin typeface="+mn-lt"/>
          </a:endParaRPr>
        </a:p>
      </xdr:txBody>
    </xdr:sp>
    <xdr:clientData/>
  </xdr:twoCellAnchor>
  <xdr:twoCellAnchor>
    <xdr:from>
      <xdr:col>5</xdr:col>
      <xdr:colOff>28075</xdr:colOff>
      <xdr:row>15</xdr:row>
      <xdr:rowOff>150390</xdr:rowOff>
    </xdr:from>
    <xdr:to>
      <xdr:col>14</xdr:col>
      <xdr:colOff>668898</xdr:colOff>
      <xdr:row>18</xdr:row>
      <xdr:rowOff>150170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2BA1C29D-2AF1-467A-A0C3-2BA57B7893B8}"/>
            </a:ext>
          </a:extLst>
        </xdr:cNvPr>
        <xdr:cNvSpPr txBox="1"/>
      </xdr:nvSpPr>
      <xdr:spPr>
        <a:xfrm>
          <a:off x="3009814" y="3224894"/>
          <a:ext cx="7796997" cy="576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600" b="1" i="0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Pagos no </a:t>
          </a:r>
          <a:r>
            <a:rPr kumimoji="0" lang="es-ES" sz="16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bancarizados</a:t>
          </a:r>
          <a:r>
            <a:rPr kumimoji="0" lang="es-ES" sz="1600" b="1" i="0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50" b="0" i="1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+mn-ea"/>
              <a:cs typeface="+mn-cs"/>
            </a:rPr>
            <a:t>   Regiones no bancarizadas, cuentas compartidas, pagos en metálico.</a:t>
          </a:r>
        </a:p>
      </xdr:txBody>
    </xdr:sp>
    <xdr:clientData/>
  </xdr:twoCellAnchor>
  <xdr:twoCellAnchor>
    <xdr:from>
      <xdr:col>5</xdr:col>
      <xdr:colOff>28075</xdr:colOff>
      <xdr:row>22</xdr:row>
      <xdr:rowOff>36696</xdr:rowOff>
    </xdr:from>
    <xdr:to>
      <xdr:col>14</xdr:col>
      <xdr:colOff>668898</xdr:colOff>
      <xdr:row>25</xdr:row>
      <xdr:rowOff>55294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5FDE518B-5A57-467A-8E53-65E331F61B42}"/>
            </a:ext>
          </a:extLst>
        </xdr:cNvPr>
        <xdr:cNvSpPr txBox="1"/>
      </xdr:nvSpPr>
      <xdr:spPr>
        <a:xfrm>
          <a:off x="3009814" y="4436418"/>
          <a:ext cx="7796997" cy="5751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600" b="1" i="0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Garantiza el control y </a:t>
          </a:r>
          <a:r>
            <a:rPr kumimoji="0" lang="es-ES" sz="16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planificación</a:t>
          </a:r>
          <a:r>
            <a:rPr kumimoji="0" lang="es-ES" sz="1600" b="1" i="0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 de nuestras finanzas como fórmula de éxito.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50" b="0" i="1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   Tan solo tenemos que registrar los ingresos y gastos.</a:t>
          </a:r>
        </a:p>
      </xdr:txBody>
    </xdr:sp>
    <xdr:clientData/>
  </xdr:twoCellAnchor>
  <xdr:twoCellAnchor>
    <xdr:from>
      <xdr:col>4</xdr:col>
      <xdr:colOff>216624</xdr:colOff>
      <xdr:row>22</xdr:row>
      <xdr:rowOff>38579</xdr:rowOff>
    </xdr:from>
    <xdr:to>
      <xdr:col>4</xdr:col>
      <xdr:colOff>725799</xdr:colOff>
      <xdr:row>24</xdr:row>
      <xdr:rowOff>164008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1884AAED-8BBB-4986-94E4-22C6A6CE7514}"/>
            </a:ext>
          </a:extLst>
        </xdr:cNvPr>
        <xdr:cNvGrpSpPr/>
      </xdr:nvGrpSpPr>
      <xdr:grpSpPr>
        <a:xfrm>
          <a:off x="2384860" y="4451252"/>
          <a:ext cx="509175" cy="485647"/>
          <a:chOff x="2289942" y="1762321"/>
          <a:chExt cx="389671" cy="390722"/>
        </a:xfrm>
        <a:solidFill>
          <a:srgbClr val="0070C0"/>
        </a:solidFill>
      </xdr:grpSpPr>
      <xdr:sp macro="" textlink="">
        <xdr:nvSpPr>
          <xdr:cNvPr id="27" name="Elipse 26">
            <a:extLst>
              <a:ext uri="{FF2B5EF4-FFF2-40B4-BE49-F238E27FC236}">
                <a16:creationId xmlns:a16="http://schemas.microsoft.com/office/drawing/2014/main" id="{BBCF90B2-B797-41BF-9A8F-0919353190CD}"/>
              </a:ext>
            </a:extLst>
          </xdr:cNvPr>
          <xdr:cNvSpPr/>
        </xdr:nvSpPr>
        <xdr:spPr bwMode="auto">
          <a:xfrm>
            <a:off x="2289942" y="1762321"/>
            <a:ext cx="389671" cy="390722"/>
          </a:xfrm>
          <a:prstGeom prst="ellipse">
            <a:avLst/>
          </a:prstGeom>
          <a:grp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s-ES" sz="1100">
              <a:solidFill>
                <a:srgbClr val="F1E8F8"/>
              </a:solidFill>
            </a:endParaRPr>
          </a:p>
        </xdr:txBody>
      </xdr:sp>
      <xdr:pic>
        <xdr:nvPicPr>
          <xdr:cNvPr id="34" name="Gráfico 33" descr="Barita mágica (automática) con relleno sólido">
            <a:extLst>
              <a:ext uri="{FF2B5EF4-FFF2-40B4-BE49-F238E27FC236}">
                <a16:creationId xmlns:a16="http://schemas.microsoft.com/office/drawing/2014/main" id="{A187DD5A-F870-4787-9E97-B1743ABADC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2343806" y="1818288"/>
            <a:ext cx="273269" cy="273269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5</xdr:col>
      <xdr:colOff>28079</xdr:colOff>
      <xdr:row>9</xdr:row>
      <xdr:rowOff>115153</xdr:rowOff>
    </xdr:from>
    <xdr:to>
      <xdr:col>14</xdr:col>
      <xdr:colOff>668898</xdr:colOff>
      <xdr:row>12</xdr:row>
      <xdr:rowOff>155179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4915C03-F061-421D-BED3-FF791F3A6FC2}"/>
            </a:ext>
          </a:extLst>
        </xdr:cNvPr>
        <xdr:cNvSpPr txBox="1"/>
      </xdr:nvSpPr>
      <xdr:spPr>
        <a:xfrm>
          <a:off x="3009818" y="2036718"/>
          <a:ext cx="7796993" cy="616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600" b="1" i="0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Problemas de acceso, incompatibilidad o desconfianza en agregadores financieros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50" b="0" i="1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   Credenciales, password, </a:t>
          </a:r>
          <a:r>
            <a:rPr kumimoji="0" lang="es-ES" sz="1050" b="0" i="1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inicios</a:t>
          </a:r>
          <a:r>
            <a:rPr kumimoji="0" lang="es-ES" sz="1050" b="0" i="1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Segoe UI Symbol" panose="020B0502040204020203" pitchFamily="34" charset="0"/>
              <a:cs typeface="+mn-cs"/>
            </a:rPr>
            <a:t> de sesión, etc.</a:t>
          </a:r>
        </a:p>
      </xdr:txBody>
    </xdr:sp>
    <xdr:clientData/>
  </xdr:twoCellAnchor>
  <xdr:twoCellAnchor>
    <xdr:from>
      <xdr:col>5</xdr:col>
      <xdr:colOff>28067</xdr:colOff>
      <xdr:row>6</xdr:row>
      <xdr:rowOff>125037</xdr:rowOff>
    </xdr:from>
    <xdr:to>
      <xdr:col>14</xdr:col>
      <xdr:colOff>668898</xdr:colOff>
      <xdr:row>9</xdr:row>
      <xdr:rowOff>139599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40B9CDA8-DF27-4469-B1ED-8E207FFEF7D2}"/>
            </a:ext>
          </a:extLst>
        </xdr:cNvPr>
        <xdr:cNvSpPr txBox="1"/>
      </xdr:nvSpPr>
      <xdr:spPr>
        <a:xfrm>
          <a:off x="3009806" y="1470133"/>
          <a:ext cx="7797005" cy="5910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600" b="1" i="0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+mn-ea"/>
              <a:cs typeface="+mn-cs"/>
            </a:rPr>
            <a:t>¿Por qué no llevamos un </a:t>
          </a:r>
          <a:r>
            <a:rPr kumimoji="0" lang="es-ES" sz="16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control</a:t>
          </a:r>
          <a:r>
            <a:rPr kumimoji="0" lang="es-ES" sz="1600" b="1" i="0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+mn-ea"/>
              <a:cs typeface="+mn-cs"/>
            </a:rPr>
            <a:t> de nuestras finanzas personales?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50" b="0" i="1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+mn-ea"/>
              <a:cs typeface="+mn-cs"/>
            </a:rPr>
            <a:t>   El próposito del ahorro tiene obstáculos que necesitamos vencer.</a:t>
          </a:r>
        </a:p>
      </xdr:txBody>
    </xdr:sp>
    <xdr:clientData/>
  </xdr:twoCellAnchor>
  <xdr:twoCellAnchor>
    <xdr:from>
      <xdr:col>4</xdr:col>
      <xdr:colOff>259033</xdr:colOff>
      <xdr:row>7</xdr:row>
      <xdr:rowOff>31992</xdr:rowOff>
    </xdr:from>
    <xdr:to>
      <xdr:col>4</xdr:col>
      <xdr:colOff>648567</xdr:colOff>
      <xdr:row>9</xdr:row>
      <xdr:rowOff>29986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58ECDF92-1480-492D-9B04-213832D6C384}"/>
            </a:ext>
          </a:extLst>
        </xdr:cNvPr>
        <xdr:cNvSpPr/>
      </xdr:nvSpPr>
      <xdr:spPr bwMode="auto">
        <a:xfrm>
          <a:off x="2427269" y="1576774"/>
          <a:ext cx="389534" cy="385921"/>
        </a:xfrm>
        <a:prstGeom prst="ellipse">
          <a:avLst/>
        </a:prstGeom>
        <a:solidFill>
          <a:srgbClr val="0070C0"/>
        </a:solidFill>
        <a:ln w="9525" cap="flat" cmpd="sng" algn="ctr">
          <a:solidFill>
            <a:srgbClr val="0070C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ES" sz="1100">
            <a:solidFill>
              <a:srgbClr val="F1E8F8"/>
            </a:solidFill>
          </a:endParaRPr>
        </a:p>
      </xdr:txBody>
    </xdr:sp>
    <xdr:clientData/>
  </xdr:twoCellAnchor>
  <xdr:twoCellAnchor>
    <xdr:from>
      <xdr:col>5</xdr:col>
      <xdr:colOff>28068</xdr:colOff>
      <xdr:row>12</xdr:row>
      <xdr:rowOff>88990</xdr:rowOff>
    </xdr:from>
    <xdr:to>
      <xdr:col>14</xdr:col>
      <xdr:colOff>668898</xdr:colOff>
      <xdr:row>15</xdr:row>
      <xdr:rowOff>130026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4221F7EC-D410-49CB-BD66-6BE7E6BFB9A2}"/>
            </a:ext>
          </a:extLst>
        </xdr:cNvPr>
        <xdr:cNvSpPr txBox="1"/>
      </xdr:nvSpPr>
      <xdr:spPr>
        <a:xfrm>
          <a:off x="3009807" y="2587025"/>
          <a:ext cx="7797004" cy="6175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600" b="1" i="0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+mn-ea"/>
              <a:cs typeface="+mn-cs"/>
            </a:rPr>
            <a:t>Dificultad para </a:t>
          </a:r>
          <a:r>
            <a:rPr kumimoji="0" lang="es-ES" sz="16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categorizar</a:t>
          </a:r>
          <a:r>
            <a:rPr kumimoji="0" lang="es-ES" sz="1600" b="1" i="0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+mn-ea"/>
              <a:cs typeface="+mn-cs"/>
            </a:rPr>
            <a:t> los ingresos y gastos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50" b="0" i="1" u="none" strike="noStrike" kern="0" cap="none" spc="0" normalizeH="0" baseline="0" noProof="0">
              <a:ln>
                <a:noFill/>
              </a:ln>
              <a:solidFill>
                <a:srgbClr val="F1E8F8"/>
              </a:solidFill>
              <a:effectLst/>
              <a:uLnTx/>
              <a:uFillTx/>
              <a:latin typeface="+mn-lt"/>
              <a:ea typeface="+mn-ea"/>
              <a:cs typeface="+mn-cs"/>
            </a:rPr>
            <a:t>   Compras en grandes almacenes con múltiples categorías, pequeño comercio no identificado, traspasos entre cuentas, etc.</a:t>
          </a:r>
        </a:p>
      </xdr:txBody>
    </xdr:sp>
    <xdr:clientData/>
  </xdr:twoCellAnchor>
  <xdr:twoCellAnchor editAs="oneCell">
    <xdr:from>
      <xdr:col>1</xdr:col>
      <xdr:colOff>256680</xdr:colOff>
      <xdr:row>0</xdr:row>
      <xdr:rowOff>160020</xdr:rowOff>
    </xdr:from>
    <xdr:to>
      <xdr:col>1</xdr:col>
      <xdr:colOff>1813560</xdr:colOff>
      <xdr:row>8</xdr:row>
      <xdr:rowOff>2400</xdr:rowOff>
    </xdr:to>
    <xdr:pic>
      <xdr:nvPicPr>
        <xdr:cNvPr id="6" name="Gráfico 5" descr="Hucha con relleno sólido">
          <a:extLst>
            <a:ext uri="{FF2B5EF4-FFF2-40B4-BE49-F238E27FC236}">
              <a16:creationId xmlns:a16="http://schemas.microsoft.com/office/drawing/2014/main" id="{E6251910-B57E-4934-936D-4C1BDD6BD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4"/>
            </a:ext>
          </a:extLst>
        </a:blip>
        <a:stretch>
          <a:fillRect/>
        </a:stretch>
      </xdr:blipFill>
      <xdr:spPr>
        <a:xfrm>
          <a:off x="302400" y="160020"/>
          <a:ext cx="1556880" cy="1556880"/>
        </a:xfrm>
        <a:prstGeom prst="rect">
          <a:avLst/>
        </a:prstGeom>
      </xdr:spPr>
    </xdr:pic>
    <xdr:clientData/>
  </xdr:twoCellAnchor>
  <xdr:oneCellAnchor>
    <xdr:from>
      <xdr:col>4</xdr:col>
      <xdr:colOff>205740</xdr:colOff>
      <xdr:row>1</xdr:row>
      <xdr:rowOff>142132</xdr:rowOff>
    </xdr:from>
    <xdr:ext cx="5340757" cy="743345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48560179-BBDE-44BF-BA18-2ACB002CF11D}"/>
            </a:ext>
          </a:extLst>
        </xdr:cNvPr>
        <xdr:cNvSpPr txBox="1"/>
      </xdr:nvSpPr>
      <xdr:spPr>
        <a:xfrm>
          <a:off x="2392349" y="453558"/>
          <a:ext cx="5340757" cy="7433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_tradnl" sz="3600" b="1">
              <a:solidFill>
                <a:schemeClr val="bg1"/>
              </a:solidFill>
              <a:latin typeface="Arial Black" panose="020B0A04020102020204" pitchFamily="34" charset="0"/>
            </a:rPr>
            <a:t>Finanzas personales</a:t>
          </a:r>
        </a:p>
      </xdr:txBody>
    </xdr:sp>
    <xdr:clientData/>
  </xdr:oneCellAnchor>
  <xdr:twoCellAnchor editAs="oneCell">
    <xdr:from>
      <xdr:col>1</xdr:col>
      <xdr:colOff>241440</xdr:colOff>
      <xdr:row>7</xdr:row>
      <xdr:rowOff>91440</xdr:rowOff>
    </xdr:from>
    <xdr:to>
      <xdr:col>1</xdr:col>
      <xdr:colOff>1798320</xdr:colOff>
      <xdr:row>15</xdr:row>
      <xdr:rowOff>124320</xdr:rowOff>
    </xdr:to>
    <xdr:pic>
      <xdr:nvPicPr>
        <xdr:cNvPr id="38" name="Gráfico 37" descr="Hucha con relleno sólido">
          <a:extLst>
            <a:ext uri="{FF2B5EF4-FFF2-40B4-BE49-F238E27FC236}">
              <a16:creationId xmlns:a16="http://schemas.microsoft.com/office/drawing/2014/main" id="{2E35CCD4-D782-4E2B-8377-3B118C90B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tretch>
          <a:fillRect/>
        </a:stretch>
      </xdr:blipFill>
      <xdr:spPr>
        <a:xfrm>
          <a:off x="287160" y="1615440"/>
          <a:ext cx="1556880" cy="1556880"/>
        </a:xfrm>
        <a:prstGeom prst="rect">
          <a:avLst/>
        </a:prstGeom>
      </xdr:spPr>
    </xdr:pic>
    <xdr:clientData/>
  </xdr:twoCellAnchor>
  <xdr:twoCellAnchor editAs="oneCell">
    <xdr:from>
      <xdr:col>1</xdr:col>
      <xdr:colOff>233820</xdr:colOff>
      <xdr:row>15</xdr:row>
      <xdr:rowOff>22860</xdr:rowOff>
    </xdr:from>
    <xdr:to>
      <xdr:col>1</xdr:col>
      <xdr:colOff>1790700</xdr:colOff>
      <xdr:row>23</xdr:row>
      <xdr:rowOff>55740</xdr:rowOff>
    </xdr:to>
    <xdr:pic>
      <xdr:nvPicPr>
        <xdr:cNvPr id="42" name="Gráfico 41" descr="Hucha con relleno sólido">
          <a:extLst>
            <a:ext uri="{FF2B5EF4-FFF2-40B4-BE49-F238E27FC236}">
              <a16:creationId xmlns:a16="http://schemas.microsoft.com/office/drawing/2014/main" id="{F822E3BF-FE3E-4F93-A4A4-20237C5E7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tretch>
          <a:fillRect/>
        </a:stretch>
      </xdr:blipFill>
      <xdr:spPr>
        <a:xfrm>
          <a:off x="279540" y="3070860"/>
          <a:ext cx="1556880" cy="1556880"/>
        </a:xfrm>
        <a:prstGeom prst="rect">
          <a:avLst/>
        </a:prstGeom>
      </xdr:spPr>
    </xdr:pic>
    <xdr:clientData/>
  </xdr:twoCellAnchor>
  <xdr:twoCellAnchor editAs="oneCell">
    <xdr:from>
      <xdr:col>1</xdr:col>
      <xdr:colOff>249060</xdr:colOff>
      <xdr:row>22</xdr:row>
      <xdr:rowOff>144780</xdr:rowOff>
    </xdr:from>
    <xdr:to>
      <xdr:col>1</xdr:col>
      <xdr:colOff>1805940</xdr:colOff>
      <xdr:row>30</xdr:row>
      <xdr:rowOff>177660</xdr:rowOff>
    </xdr:to>
    <xdr:pic>
      <xdr:nvPicPr>
        <xdr:cNvPr id="43" name="Gráfico 42" descr="Hucha con relleno sólido">
          <a:extLst>
            <a:ext uri="{FF2B5EF4-FFF2-40B4-BE49-F238E27FC236}">
              <a16:creationId xmlns:a16="http://schemas.microsoft.com/office/drawing/2014/main" id="{91A97F6D-4445-4B39-AE16-CAC54C174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tretch>
          <a:fillRect/>
        </a:stretch>
      </xdr:blipFill>
      <xdr:spPr>
        <a:xfrm>
          <a:off x="294780" y="4526280"/>
          <a:ext cx="1556880" cy="1556880"/>
        </a:xfrm>
        <a:prstGeom prst="rect">
          <a:avLst/>
        </a:prstGeom>
      </xdr:spPr>
    </xdr:pic>
    <xdr:clientData/>
  </xdr:twoCellAnchor>
  <xdr:twoCellAnchor editAs="oneCell">
    <xdr:from>
      <xdr:col>4</xdr:col>
      <xdr:colOff>266995</xdr:colOff>
      <xdr:row>7</xdr:row>
      <xdr:rowOff>6631</xdr:rowOff>
    </xdr:from>
    <xdr:to>
      <xdr:col>4</xdr:col>
      <xdr:colOff>675427</xdr:colOff>
      <xdr:row>9</xdr:row>
      <xdr:rowOff>37111</xdr:rowOff>
    </xdr:to>
    <xdr:pic>
      <xdr:nvPicPr>
        <xdr:cNvPr id="3" name="Gráfico 2" descr="Gráfico de tendencia descendente con relleno sólido">
          <a:extLst>
            <a:ext uri="{FF2B5EF4-FFF2-40B4-BE49-F238E27FC236}">
              <a16:creationId xmlns:a16="http://schemas.microsoft.com/office/drawing/2014/main" id="{4C8E0996-D5CB-445B-A65E-F3156C704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453604" y="1543883"/>
          <a:ext cx="408432" cy="414793"/>
        </a:xfrm>
        <a:prstGeom prst="rect">
          <a:avLst/>
        </a:prstGeom>
      </xdr:spPr>
    </xdr:pic>
    <xdr:clientData/>
  </xdr:twoCellAnchor>
  <xdr:twoCellAnchor editAs="oneCell">
    <xdr:from>
      <xdr:col>4</xdr:col>
      <xdr:colOff>283433</xdr:colOff>
      <xdr:row>9</xdr:row>
      <xdr:rowOff>182458</xdr:rowOff>
    </xdr:from>
    <xdr:to>
      <xdr:col>4</xdr:col>
      <xdr:colOff>658990</xdr:colOff>
      <xdr:row>11</xdr:row>
      <xdr:rowOff>177015</xdr:rowOff>
    </xdr:to>
    <xdr:pic>
      <xdr:nvPicPr>
        <xdr:cNvPr id="7" name="Gráfico 6" descr="Prohibido con relleno sólido">
          <a:extLst>
            <a:ext uri="{FF2B5EF4-FFF2-40B4-BE49-F238E27FC236}">
              <a16:creationId xmlns:a16="http://schemas.microsoft.com/office/drawing/2014/main" id="{3639A313-F0C2-40A5-BD24-B13672265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1"/>
            </a:ext>
          </a:extLst>
        </a:blip>
        <a:stretch>
          <a:fillRect/>
        </a:stretch>
      </xdr:blipFill>
      <xdr:spPr>
        <a:xfrm>
          <a:off x="2470042" y="2104023"/>
          <a:ext cx="375557" cy="378870"/>
        </a:xfrm>
        <a:prstGeom prst="rect">
          <a:avLst/>
        </a:prstGeom>
      </xdr:spPr>
    </xdr:pic>
    <xdr:clientData/>
  </xdr:twoCellAnchor>
  <xdr:twoCellAnchor editAs="oneCell">
    <xdr:from>
      <xdr:col>4</xdr:col>
      <xdr:colOff>280712</xdr:colOff>
      <xdr:row>12</xdr:row>
      <xdr:rowOff>177016</xdr:rowOff>
    </xdr:from>
    <xdr:to>
      <xdr:col>4</xdr:col>
      <xdr:colOff>661711</xdr:colOff>
      <xdr:row>14</xdr:row>
      <xdr:rowOff>177015</xdr:rowOff>
    </xdr:to>
    <xdr:pic>
      <xdr:nvPicPr>
        <xdr:cNvPr id="9" name="Gráfico 8" descr="Diagrama de red con relleno sólido">
          <a:extLst>
            <a:ext uri="{FF2B5EF4-FFF2-40B4-BE49-F238E27FC236}">
              <a16:creationId xmlns:a16="http://schemas.microsoft.com/office/drawing/2014/main" id="{0DD909EE-CB41-457C-8D95-539C6BE26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3"/>
            </a:ext>
          </a:extLst>
        </a:blip>
        <a:stretch>
          <a:fillRect/>
        </a:stretch>
      </xdr:blipFill>
      <xdr:spPr>
        <a:xfrm flipH="1">
          <a:off x="2467321" y="2675051"/>
          <a:ext cx="380999" cy="384312"/>
        </a:xfrm>
        <a:prstGeom prst="rect">
          <a:avLst/>
        </a:prstGeom>
      </xdr:spPr>
    </xdr:pic>
    <xdr:clientData/>
  </xdr:twoCellAnchor>
  <xdr:twoCellAnchor editAs="oneCell">
    <xdr:from>
      <xdr:col>4</xdr:col>
      <xdr:colOff>288876</xdr:colOff>
      <xdr:row>16</xdr:row>
      <xdr:rowOff>62715</xdr:rowOff>
    </xdr:from>
    <xdr:to>
      <xdr:col>4</xdr:col>
      <xdr:colOff>653547</xdr:colOff>
      <xdr:row>18</xdr:row>
      <xdr:rowOff>45203</xdr:rowOff>
    </xdr:to>
    <xdr:pic>
      <xdr:nvPicPr>
        <xdr:cNvPr id="12" name="Gráfico 11" descr="Monedas con relleno sólido">
          <a:extLst>
            <a:ext uri="{FF2B5EF4-FFF2-40B4-BE49-F238E27FC236}">
              <a16:creationId xmlns:a16="http://schemas.microsoft.com/office/drawing/2014/main" id="{AC4A67B9-4347-48C7-8DA2-90E35DF7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5"/>
            </a:ext>
          </a:extLst>
        </a:blip>
        <a:stretch>
          <a:fillRect/>
        </a:stretch>
      </xdr:blipFill>
      <xdr:spPr>
        <a:xfrm>
          <a:off x="2475485" y="3329376"/>
          <a:ext cx="364671" cy="366801"/>
        </a:xfrm>
        <a:prstGeom prst="rect">
          <a:avLst/>
        </a:prstGeom>
      </xdr:spPr>
    </xdr:pic>
    <xdr:clientData/>
  </xdr:twoCellAnchor>
  <xdr:twoCellAnchor editAs="oneCell">
    <xdr:from>
      <xdr:col>4</xdr:col>
      <xdr:colOff>269826</xdr:colOff>
      <xdr:row>19</xdr:row>
      <xdr:rowOff>76679</xdr:rowOff>
    </xdr:from>
    <xdr:to>
      <xdr:col>4</xdr:col>
      <xdr:colOff>672596</xdr:colOff>
      <xdr:row>21</xdr:row>
      <xdr:rowOff>109335</xdr:rowOff>
    </xdr:to>
    <xdr:pic>
      <xdr:nvPicPr>
        <xdr:cNvPr id="17" name="Gráfico 16" descr="Bloquear con relleno sólido">
          <a:extLst>
            <a:ext uri="{FF2B5EF4-FFF2-40B4-BE49-F238E27FC236}">
              <a16:creationId xmlns:a16="http://schemas.microsoft.com/office/drawing/2014/main" id="{DD61211F-EE87-4357-93F1-234FA159B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7"/>
            </a:ext>
          </a:extLst>
        </a:blip>
        <a:stretch>
          <a:fillRect/>
        </a:stretch>
      </xdr:blipFill>
      <xdr:spPr>
        <a:xfrm>
          <a:off x="2456435" y="3919809"/>
          <a:ext cx="402770" cy="4037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228737</xdr:colOff>
      <xdr:row>1</xdr:row>
      <xdr:rowOff>173715</xdr:rowOff>
    </xdr:from>
    <xdr:to>
      <xdr:col>1</xdr:col>
      <xdr:colOff>1526816</xdr:colOff>
      <xdr:row>4</xdr:row>
      <xdr:rowOff>2470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213DADDC-BF48-4E37-A391-CE0642F4FBB9}"/>
            </a:ext>
          </a:extLst>
        </xdr:cNvPr>
        <xdr:cNvGrpSpPr/>
      </xdr:nvGrpSpPr>
      <xdr:grpSpPr>
        <a:xfrm>
          <a:off x="274457" y="478515"/>
          <a:ext cx="1298079" cy="872695"/>
          <a:chOff x="103532" y="269185"/>
          <a:chExt cx="1311414" cy="914400"/>
        </a:xfrm>
        <a:solidFill>
          <a:srgbClr val="B381D9"/>
        </a:solidFill>
      </xdr:grpSpPr>
      <xdr:pic>
        <xdr:nvPicPr>
          <xdr:cNvPr id="5" name="Gráfico 4" descr="Engranajes con relleno sólido">
            <a:extLst>
              <a:ext uri="{FF2B5EF4-FFF2-40B4-BE49-F238E27FC236}">
                <a16:creationId xmlns:a16="http://schemas.microsoft.com/office/drawing/2014/main" id="{F3C81B41-9EE4-4250-B28E-0B51CE5444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 rot="5400000">
            <a:off x="103532" y="269185"/>
            <a:ext cx="914400" cy="914400"/>
          </a:xfrm>
          <a:prstGeom prst="rect">
            <a:avLst/>
          </a:prstGeom>
        </xdr:spPr>
      </xdr:pic>
      <xdr:pic>
        <xdr:nvPicPr>
          <xdr:cNvPr id="7" name="Gráfico 6" descr="Herramientas con relleno sólido">
            <a:extLst>
              <a:ext uri="{FF2B5EF4-FFF2-40B4-BE49-F238E27FC236}">
                <a16:creationId xmlns:a16="http://schemas.microsoft.com/office/drawing/2014/main" id="{58F716A4-21AA-4005-B31C-B4465F71FD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952501" y="621195"/>
            <a:ext cx="462445" cy="46244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205877</xdr:colOff>
      <xdr:row>7</xdr:row>
      <xdr:rowOff>545</xdr:rowOff>
    </xdr:from>
    <xdr:to>
      <xdr:col>1</xdr:col>
      <xdr:colOff>1505861</xdr:colOff>
      <xdr:row>11</xdr:row>
      <xdr:rowOff>71962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EC5BF3F4-62A2-4F6A-A30B-3C2BF3974D1A}"/>
            </a:ext>
          </a:extLst>
        </xdr:cNvPr>
        <xdr:cNvGrpSpPr/>
      </xdr:nvGrpSpPr>
      <xdr:grpSpPr>
        <a:xfrm>
          <a:off x="251597" y="1760765"/>
          <a:ext cx="1299984" cy="909617"/>
          <a:chOff x="103532" y="269185"/>
          <a:chExt cx="1311414" cy="914400"/>
        </a:xfrm>
        <a:solidFill>
          <a:srgbClr val="B381D9"/>
        </a:solidFill>
      </xdr:grpSpPr>
      <xdr:pic>
        <xdr:nvPicPr>
          <xdr:cNvPr id="22" name="Gráfico 21" descr="Engranajes con relleno sólido">
            <a:extLst>
              <a:ext uri="{FF2B5EF4-FFF2-40B4-BE49-F238E27FC236}">
                <a16:creationId xmlns:a16="http://schemas.microsoft.com/office/drawing/2014/main" id="{6DC5F3EA-0DEC-42A3-BB61-24D6A8BF69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 rot="5400000">
            <a:off x="103532" y="269185"/>
            <a:ext cx="914400" cy="914400"/>
          </a:xfrm>
          <a:prstGeom prst="rect">
            <a:avLst/>
          </a:prstGeom>
        </xdr:spPr>
      </xdr:pic>
      <xdr:pic>
        <xdr:nvPicPr>
          <xdr:cNvPr id="23" name="Gráfico 22" descr="Herramientas con relleno sólido">
            <a:extLst>
              <a:ext uri="{FF2B5EF4-FFF2-40B4-BE49-F238E27FC236}">
                <a16:creationId xmlns:a16="http://schemas.microsoft.com/office/drawing/2014/main" id="{93FDC528-CD80-4AE3-9BC8-FC9C6DABBC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952501" y="621195"/>
            <a:ext cx="462445" cy="46244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173492</xdr:colOff>
      <xdr:row>13</xdr:row>
      <xdr:rowOff>228025</xdr:rowOff>
    </xdr:from>
    <xdr:to>
      <xdr:col>1</xdr:col>
      <xdr:colOff>1483001</xdr:colOff>
      <xdr:row>17</xdr:row>
      <xdr:rowOff>168356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FAA73936-592A-4FB8-9298-367DDD21EBD2}"/>
            </a:ext>
          </a:extLst>
        </xdr:cNvPr>
        <xdr:cNvGrpSpPr/>
      </xdr:nvGrpSpPr>
      <xdr:grpSpPr>
        <a:xfrm>
          <a:off x="219212" y="3283645"/>
          <a:ext cx="1309509" cy="854731"/>
          <a:chOff x="103532" y="269185"/>
          <a:chExt cx="1311414" cy="914400"/>
        </a:xfrm>
        <a:solidFill>
          <a:srgbClr val="B381D9"/>
        </a:solidFill>
      </xdr:grpSpPr>
      <xdr:pic>
        <xdr:nvPicPr>
          <xdr:cNvPr id="25" name="Gráfico 24" descr="Engranajes con relleno sólido">
            <a:extLst>
              <a:ext uri="{FF2B5EF4-FFF2-40B4-BE49-F238E27FC236}">
                <a16:creationId xmlns:a16="http://schemas.microsoft.com/office/drawing/2014/main" id="{852C5081-FE54-421F-9999-88D5F891E0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 rot="5400000">
            <a:off x="103532" y="269185"/>
            <a:ext cx="914400" cy="914400"/>
          </a:xfrm>
          <a:prstGeom prst="rect">
            <a:avLst/>
          </a:prstGeom>
        </xdr:spPr>
      </xdr:pic>
      <xdr:pic>
        <xdr:nvPicPr>
          <xdr:cNvPr id="26" name="Gráfico 25" descr="Herramientas con relleno sólido">
            <a:extLst>
              <a:ext uri="{FF2B5EF4-FFF2-40B4-BE49-F238E27FC236}">
                <a16:creationId xmlns:a16="http://schemas.microsoft.com/office/drawing/2014/main" id="{FEBDA88F-5D9F-4800-9AB1-871D372836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952501" y="621195"/>
            <a:ext cx="462445" cy="46244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171587</xdr:colOff>
      <xdr:row>20</xdr:row>
      <xdr:rowOff>40930</xdr:rowOff>
    </xdr:from>
    <xdr:to>
      <xdr:col>1</xdr:col>
      <xdr:colOff>1465856</xdr:colOff>
      <xdr:row>24</xdr:row>
      <xdr:rowOff>35768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B5BDD20E-8054-4CF1-B5C8-EE65565CED61}"/>
            </a:ext>
          </a:extLst>
        </xdr:cNvPr>
        <xdr:cNvGrpSpPr/>
      </xdr:nvGrpSpPr>
      <xdr:grpSpPr>
        <a:xfrm>
          <a:off x="217307" y="4696750"/>
          <a:ext cx="1294269" cy="909238"/>
          <a:chOff x="103532" y="269185"/>
          <a:chExt cx="1311414" cy="914400"/>
        </a:xfrm>
        <a:solidFill>
          <a:srgbClr val="B381D9"/>
        </a:solidFill>
      </xdr:grpSpPr>
      <xdr:pic>
        <xdr:nvPicPr>
          <xdr:cNvPr id="28" name="Gráfico 27" descr="Engranajes con relleno sólido">
            <a:extLst>
              <a:ext uri="{FF2B5EF4-FFF2-40B4-BE49-F238E27FC236}">
                <a16:creationId xmlns:a16="http://schemas.microsoft.com/office/drawing/2014/main" id="{1D99F1EF-76FB-43B5-B239-8125A1E0A5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 rot="5400000">
            <a:off x="103532" y="269185"/>
            <a:ext cx="914400" cy="914400"/>
          </a:xfrm>
          <a:prstGeom prst="rect">
            <a:avLst/>
          </a:prstGeom>
        </xdr:spPr>
      </xdr:pic>
      <xdr:pic>
        <xdr:nvPicPr>
          <xdr:cNvPr id="29" name="Gráfico 28" descr="Herramientas con relleno sólido">
            <a:extLst>
              <a:ext uri="{FF2B5EF4-FFF2-40B4-BE49-F238E27FC236}">
                <a16:creationId xmlns:a16="http://schemas.microsoft.com/office/drawing/2014/main" id="{2748DC73-5288-4E2F-B47B-750C617109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952501" y="621195"/>
            <a:ext cx="462445" cy="46244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169682</xdr:colOff>
      <xdr:row>26</xdr:row>
      <xdr:rowOff>35216</xdr:rowOff>
    </xdr:from>
    <xdr:to>
      <xdr:col>1</xdr:col>
      <xdr:colOff>1469666</xdr:colOff>
      <xdr:row>29</xdr:row>
      <xdr:rowOff>190477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53E8037B-6BEB-4B43-8C16-091224905497}"/>
            </a:ext>
          </a:extLst>
        </xdr:cNvPr>
        <xdr:cNvGrpSpPr/>
      </xdr:nvGrpSpPr>
      <xdr:grpSpPr>
        <a:xfrm>
          <a:off x="215402" y="6062636"/>
          <a:ext cx="1299984" cy="841061"/>
          <a:chOff x="103532" y="269185"/>
          <a:chExt cx="1311414" cy="914400"/>
        </a:xfrm>
        <a:solidFill>
          <a:srgbClr val="B381D9"/>
        </a:solidFill>
      </xdr:grpSpPr>
      <xdr:pic>
        <xdr:nvPicPr>
          <xdr:cNvPr id="31" name="Gráfico 30" descr="Engranajes con relleno sólido">
            <a:extLst>
              <a:ext uri="{FF2B5EF4-FFF2-40B4-BE49-F238E27FC236}">
                <a16:creationId xmlns:a16="http://schemas.microsoft.com/office/drawing/2014/main" id="{57893F87-ACA6-4689-ABE8-DF451457E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 rot="5400000">
            <a:off x="103532" y="269185"/>
            <a:ext cx="914400" cy="914400"/>
          </a:xfrm>
          <a:prstGeom prst="rect">
            <a:avLst/>
          </a:prstGeom>
        </xdr:spPr>
      </xdr:pic>
      <xdr:pic>
        <xdr:nvPicPr>
          <xdr:cNvPr id="32" name="Gráfico 31" descr="Herramientas con relleno sólido">
            <a:extLst>
              <a:ext uri="{FF2B5EF4-FFF2-40B4-BE49-F238E27FC236}">
                <a16:creationId xmlns:a16="http://schemas.microsoft.com/office/drawing/2014/main" id="{6A01CB49-CB25-49F0-BC53-4540657C40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952501" y="621195"/>
            <a:ext cx="462445" cy="462445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589286</xdr:colOff>
      <xdr:row>5</xdr:row>
      <xdr:rowOff>147687</xdr:rowOff>
    </xdr:from>
    <xdr:to>
      <xdr:col>7</xdr:col>
      <xdr:colOff>2451731</xdr:colOff>
      <xdr:row>8</xdr:row>
      <xdr:rowOff>87094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C5BAFE80-02AC-4C47-9275-C59397014D02}"/>
            </a:ext>
          </a:extLst>
        </xdr:cNvPr>
        <xdr:cNvGrpSpPr/>
      </xdr:nvGrpSpPr>
      <xdr:grpSpPr>
        <a:xfrm>
          <a:off x="8026406" y="1526907"/>
          <a:ext cx="1862445" cy="510907"/>
          <a:chOff x="7037449" y="866232"/>
          <a:chExt cx="1164497" cy="516079"/>
        </a:xfrm>
      </xdr:grpSpPr>
      <xdr:pic macro="[0]!eliminarFilaTipoGasto">
        <xdr:nvPicPr>
          <xdr:cNvPr id="20" name="Gráfico 19" descr="Insignia de cruz con relleno sólido">
            <a:extLst>
              <a:ext uri="{FF2B5EF4-FFF2-40B4-BE49-F238E27FC236}">
                <a16:creationId xmlns:a16="http://schemas.microsoft.com/office/drawing/2014/main" id="{573EA9C3-75AB-4C3D-952F-4868E40782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3"/>
              </a:ext>
            </a:extLst>
          </a:blip>
          <a:stretch>
            <a:fillRect/>
          </a:stretch>
        </xdr:blipFill>
        <xdr:spPr>
          <a:xfrm>
            <a:off x="7476752" y="866232"/>
            <a:ext cx="218818" cy="339107"/>
          </a:xfrm>
          <a:prstGeom prst="rect">
            <a:avLst/>
          </a:prstGeom>
        </xdr:spPr>
      </xdr:pic>
      <xdr:sp macro="[0]!eliminarFilaTipoGasto" textlink="">
        <xdr:nvSpPr>
          <xdr:cNvPr id="33" name="CuadroTexto 32">
            <a:extLst>
              <a:ext uri="{FF2B5EF4-FFF2-40B4-BE49-F238E27FC236}">
                <a16:creationId xmlns:a16="http://schemas.microsoft.com/office/drawing/2014/main" id="{903FC450-786D-4CFE-940B-041CF475181E}"/>
              </a:ext>
            </a:extLst>
          </xdr:cNvPr>
          <xdr:cNvSpPr txBox="1"/>
        </xdr:nvSpPr>
        <xdr:spPr>
          <a:xfrm>
            <a:off x="7037449" y="1127922"/>
            <a:ext cx="1164497" cy="254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Eliminar ítem seleccionado</a:t>
            </a:r>
          </a:p>
        </xdr:txBody>
      </xdr:sp>
    </xdr:grpSp>
    <xdr:clientData/>
  </xdr:twoCellAnchor>
  <xdr:twoCellAnchor editAs="absolute">
    <xdr:from>
      <xdr:col>4</xdr:col>
      <xdr:colOff>585078</xdr:colOff>
      <xdr:row>5</xdr:row>
      <xdr:rowOff>156433</xdr:rowOff>
    </xdr:from>
    <xdr:to>
      <xdr:col>4</xdr:col>
      <xdr:colOff>2354582</xdr:colOff>
      <xdr:row>8</xdr:row>
      <xdr:rowOff>109949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42DB3791-15D6-43F0-BD20-AFBBEE7988C7}"/>
            </a:ext>
          </a:extLst>
        </xdr:cNvPr>
        <xdr:cNvGrpSpPr/>
      </xdr:nvGrpSpPr>
      <xdr:grpSpPr>
        <a:xfrm>
          <a:off x="2749158" y="1535653"/>
          <a:ext cx="1769504" cy="525016"/>
          <a:chOff x="6711127" y="863076"/>
          <a:chExt cx="1781170" cy="507043"/>
        </a:xfrm>
      </xdr:grpSpPr>
      <xdr:pic macro="[0]!eliminarFilaTipoGasto">
        <xdr:nvPicPr>
          <xdr:cNvPr id="35" name="Gráfico 34" descr="Insignia de cruz con relleno sólido">
            <a:extLst>
              <a:ext uri="{FF2B5EF4-FFF2-40B4-BE49-F238E27FC236}">
                <a16:creationId xmlns:a16="http://schemas.microsoft.com/office/drawing/2014/main" id="{33728D33-4E94-4CFB-9785-28695D175A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3"/>
              </a:ext>
            </a:extLst>
          </a:blip>
          <a:stretch>
            <a:fillRect/>
          </a:stretch>
        </xdr:blipFill>
        <xdr:spPr>
          <a:xfrm>
            <a:off x="7370173" y="863076"/>
            <a:ext cx="325397" cy="323374"/>
          </a:xfrm>
          <a:prstGeom prst="rect">
            <a:avLst/>
          </a:prstGeom>
        </xdr:spPr>
      </xdr:pic>
      <xdr:sp macro="[0]!eliminarFilaTipoGasto" textlink="">
        <xdr:nvSpPr>
          <xdr:cNvPr id="36" name="CuadroTexto 35">
            <a:extLst>
              <a:ext uri="{FF2B5EF4-FFF2-40B4-BE49-F238E27FC236}">
                <a16:creationId xmlns:a16="http://schemas.microsoft.com/office/drawing/2014/main" id="{85644768-394C-44B4-BAA7-9ED3907225D6}"/>
              </a:ext>
            </a:extLst>
          </xdr:cNvPr>
          <xdr:cNvSpPr txBox="1"/>
        </xdr:nvSpPr>
        <xdr:spPr>
          <a:xfrm>
            <a:off x="6711127" y="1115730"/>
            <a:ext cx="1781170" cy="254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Eliminar ítem seleccionado</a:t>
            </a:r>
          </a:p>
        </xdr:txBody>
      </xdr:sp>
    </xdr:grpSp>
    <xdr:clientData/>
  </xdr:twoCellAnchor>
  <xdr:twoCellAnchor editAs="absolute">
    <xdr:from>
      <xdr:col>2</xdr:col>
      <xdr:colOff>73241</xdr:colOff>
      <xdr:row>5</xdr:row>
      <xdr:rowOff>156435</xdr:rowOff>
    </xdr:from>
    <xdr:to>
      <xdr:col>4</xdr:col>
      <xdr:colOff>571499</xdr:colOff>
      <xdr:row>8</xdr:row>
      <xdr:rowOff>74468</xdr:rowOff>
    </xdr:to>
    <xdr:grpSp>
      <xdr:nvGrpSpPr>
        <xdr:cNvPr id="39" name="Grupo 38">
          <a:extLst>
            <a:ext uri="{FF2B5EF4-FFF2-40B4-BE49-F238E27FC236}">
              <a16:creationId xmlns:a16="http://schemas.microsoft.com/office/drawing/2014/main" id="{61B9793B-8D23-4E17-83B0-37633147A750}"/>
            </a:ext>
          </a:extLst>
        </xdr:cNvPr>
        <xdr:cNvGrpSpPr/>
      </xdr:nvGrpSpPr>
      <xdr:grpSpPr>
        <a:xfrm>
          <a:off x="2023961" y="1535655"/>
          <a:ext cx="711618" cy="489533"/>
          <a:chOff x="2150415" y="1742943"/>
          <a:chExt cx="741779" cy="498650"/>
        </a:xfrm>
      </xdr:grpSpPr>
      <xdr:pic macro="[0]!AgregarRegCateg">
        <xdr:nvPicPr>
          <xdr:cNvPr id="40" name="Gráfico 39" descr="Insignia de seguir con relleno sólido">
            <a:extLst>
              <a:ext uri="{FF2B5EF4-FFF2-40B4-BE49-F238E27FC236}">
                <a16:creationId xmlns:a16="http://schemas.microsoft.com/office/drawing/2014/main" id="{8835D77C-CAFD-4BB0-A0EB-FF166E124C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6"/>
              </a:ext>
            </a:extLst>
          </a:blip>
          <a:stretch>
            <a:fillRect/>
          </a:stretch>
        </xdr:blipFill>
        <xdr:spPr>
          <a:xfrm>
            <a:off x="2361251" y="1742943"/>
            <a:ext cx="331693" cy="332600"/>
          </a:xfrm>
          <a:prstGeom prst="rect">
            <a:avLst/>
          </a:prstGeom>
        </xdr:spPr>
      </xdr:pic>
      <xdr:sp macro="[0]!AgregarRegCateg" textlink="">
        <xdr:nvSpPr>
          <xdr:cNvPr id="41" name="CuadroTexto 40">
            <a:extLst>
              <a:ext uri="{FF2B5EF4-FFF2-40B4-BE49-F238E27FC236}">
                <a16:creationId xmlns:a16="http://schemas.microsoft.com/office/drawing/2014/main" id="{D85D27BF-6D67-4D42-8880-AC9E6CC46BC9}"/>
              </a:ext>
            </a:extLst>
          </xdr:cNvPr>
          <xdr:cNvSpPr txBox="1"/>
        </xdr:nvSpPr>
        <xdr:spPr>
          <a:xfrm>
            <a:off x="2150415" y="1992085"/>
            <a:ext cx="741779" cy="2495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Agregar</a:t>
            </a:r>
          </a:p>
        </xdr:txBody>
      </xdr:sp>
    </xdr:grpSp>
    <xdr:clientData/>
  </xdr:twoCellAnchor>
  <xdr:twoCellAnchor editAs="absolute">
    <xdr:from>
      <xdr:col>6</xdr:col>
      <xdr:colOff>122332</xdr:colOff>
      <xdr:row>5</xdr:row>
      <xdr:rowOff>159307</xdr:rowOff>
    </xdr:from>
    <xdr:to>
      <xdr:col>7</xdr:col>
      <xdr:colOff>563882</xdr:colOff>
      <xdr:row>8</xdr:row>
      <xdr:rowOff>77340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8A8E84FC-25BD-4C04-8545-BE929C6CF7C1}"/>
            </a:ext>
          </a:extLst>
        </xdr:cNvPr>
        <xdr:cNvGrpSpPr/>
      </xdr:nvGrpSpPr>
      <xdr:grpSpPr>
        <a:xfrm>
          <a:off x="7323232" y="1538527"/>
          <a:ext cx="677770" cy="489533"/>
          <a:chOff x="2176424" y="1742943"/>
          <a:chExt cx="689761" cy="498650"/>
        </a:xfrm>
      </xdr:grpSpPr>
      <xdr:pic macro="[0]!AgregarRegIngGast">
        <xdr:nvPicPr>
          <xdr:cNvPr id="43" name="Gráfico 42" descr="Insignia de seguir con relleno sólido">
            <a:extLst>
              <a:ext uri="{FF2B5EF4-FFF2-40B4-BE49-F238E27FC236}">
                <a16:creationId xmlns:a16="http://schemas.microsoft.com/office/drawing/2014/main" id="{A44341B9-286E-43D1-AF1D-22908BA9C2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6"/>
              </a:ext>
            </a:extLst>
          </a:blip>
          <a:stretch>
            <a:fillRect/>
          </a:stretch>
        </xdr:blipFill>
        <xdr:spPr>
          <a:xfrm>
            <a:off x="2361251" y="1742943"/>
            <a:ext cx="331693" cy="332600"/>
          </a:xfrm>
          <a:prstGeom prst="rect">
            <a:avLst/>
          </a:prstGeom>
        </xdr:spPr>
      </xdr:pic>
      <xdr:sp macro="[0]!AgregarRegIngGast" textlink="">
        <xdr:nvSpPr>
          <xdr:cNvPr id="44" name="CuadroTexto 43">
            <a:extLst>
              <a:ext uri="{FF2B5EF4-FFF2-40B4-BE49-F238E27FC236}">
                <a16:creationId xmlns:a16="http://schemas.microsoft.com/office/drawing/2014/main" id="{6C662F32-1B28-4129-95D8-8C4A7A6B109D}"/>
              </a:ext>
            </a:extLst>
          </xdr:cNvPr>
          <xdr:cNvSpPr txBox="1"/>
        </xdr:nvSpPr>
        <xdr:spPr>
          <a:xfrm>
            <a:off x="2176424" y="1992085"/>
            <a:ext cx="689761" cy="2495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Agregar</a:t>
            </a:r>
          </a:p>
        </xdr:txBody>
      </xdr:sp>
    </xdr:grpSp>
    <xdr:clientData/>
  </xdr:twoCellAnchor>
  <xdr:twoCellAnchor editAs="absolute">
    <xdr:from>
      <xdr:col>4</xdr:col>
      <xdr:colOff>2438895</xdr:colOff>
      <xdr:row>6</xdr:row>
      <xdr:rowOff>37467</xdr:rowOff>
    </xdr:from>
    <xdr:to>
      <xdr:col>4</xdr:col>
      <xdr:colOff>3809999</xdr:colOff>
      <xdr:row>8</xdr:row>
      <xdr:rowOff>93479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DDAF4EFF-A09D-42F8-9A3F-6B1ADB1920C8}"/>
            </a:ext>
          </a:extLst>
        </xdr:cNvPr>
        <xdr:cNvGrpSpPr/>
      </xdr:nvGrpSpPr>
      <xdr:grpSpPr>
        <a:xfrm>
          <a:off x="4602975" y="1607187"/>
          <a:ext cx="1371104" cy="437012"/>
          <a:chOff x="4825873" y="1656521"/>
          <a:chExt cx="1342037" cy="427294"/>
        </a:xfrm>
      </xdr:grpSpPr>
      <xdr:sp macro="[0]!ordenarCategoriasConfig" textlink="">
        <xdr:nvSpPr>
          <xdr:cNvPr id="45" name="CuadroTexto 44">
            <a:extLst>
              <a:ext uri="{FF2B5EF4-FFF2-40B4-BE49-F238E27FC236}">
                <a16:creationId xmlns:a16="http://schemas.microsoft.com/office/drawing/2014/main" id="{0418928B-AB08-4082-BC1D-40369B52F634}"/>
              </a:ext>
            </a:extLst>
          </xdr:cNvPr>
          <xdr:cNvSpPr txBox="1"/>
        </xdr:nvSpPr>
        <xdr:spPr>
          <a:xfrm>
            <a:off x="4825873" y="1833218"/>
            <a:ext cx="1342037" cy="2505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Ordenar ascendente</a:t>
            </a:r>
          </a:p>
        </xdr:txBody>
      </xdr:sp>
      <xdr:pic macro="[0]!ordenarCategoriasConfig">
        <xdr:nvPicPr>
          <xdr:cNvPr id="11" name="Gráfico 10" descr="Flecha arriba con relleno sólido">
            <a:extLst>
              <a:ext uri="{FF2B5EF4-FFF2-40B4-BE49-F238E27FC236}">
                <a16:creationId xmlns:a16="http://schemas.microsoft.com/office/drawing/2014/main" id="{77660212-0ACE-4FFE-885F-D82B9AC400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9"/>
              </a:ext>
            </a:extLst>
          </a:blip>
          <a:stretch>
            <a:fillRect/>
          </a:stretch>
        </xdr:blipFill>
        <xdr:spPr>
          <a:xfrm>
            <a:off x="5350565" y="1656521"/>
            <a:ext cx="226391" cy="226391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2473161</xdr:colOff>
      <xdr:row>6</xdr:row>
      <xdr:rowOff>36141</xdr:rowOff>
    </xdr:from>
    <xdr:to>
      <xdr:col>7</xdr:col>
      <xdr:colOff>3817621</xdr:colOff>
      <xdr:row>8</xdr:row>
      <xdr:rowOff>76913</xdr:rowOff>
    </xdr:to>
    <xdr:grpSp>
      <xdr:nvGrpSpPr>
        <xdr:cNvPr id="46" name="Grupo 45">
          <a:extLst>
            <a:ext uri="{FF2B5EF4-FFF2-40B4-BE49-F238E27FC236}">
              <a16:creationId xmlns:a16="http://schemas.microsoft.com/office/drawing/2014/main" id="{C642583D-5FDE-4228-94B7-6789E275B89F}"/>
            </a:ext>
          </a:extLst>
        </xdr:cNvPr>
        <xdr:cNvGrpSpPr/>
      </xdr:nvGrpSpPr>
      <xdr:grpSpPr>
        <a:xfrm>
          <a:off x="9910281" y="1605861"/>
          <a:ext cx="1344460" cy="421772"/>
          <a:chOff x="4819421" y="1656521"/>
          <a:chExt cx="1354941" cy="427294"/>
        </a:xfrm>
      </xdr:grpSpPr>
      <xdr:sp macro="[0]!ordenarGastosIngresosConfig" textlink="">
        <xdr:nvSpPr>
          <xdr:cNvPr id="47" name="CuadroTexto 46">
            <a:extLst>
              <a:ext uri="{FF2B5EF4-FFF2-40B4-BE49-F238E27FC236}">
                <a16:creationId xmlns:a16="http://schemas.microsoft.com/office/drawing/2014/main" id="{09EC1087-DF97-4867-ACBF-0F0F675D60CF}"/>
              </a:ext>
            </a:extLst>
          </xdr:cNvPr>
          <xdr:cNvSpPr txBox="1"/>
        </xdr:nvSpPr>
        <xdr:spPr>
          <a:xfrm>
            <a:off x="4819421" y="1833218"/>
            <a:ext cx="1354941" cy="2505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Ordenar ascendente</a:t>
            </a:r>
          </a:p>
        </xdr:txBody>
      </xdr:sp>
      <xdr:pic macro="[0]!ordenarGastosIngresosConfig">
        <xdr:nvPicPr>
          <xdr:cNvPr id="48" name="Gráfico 47" descr="Flecha arriba con relleno sólido">
            <a:extLst>
              <a:ext uri="{FF2B5EF4-FFF2-40B4-BE49-F238E27FC236}">
                <a16:creationId xmlns:a16="http://schemas.microsoft.com/office/drawing/2014/main" id="{CA8A85E2-59E9-49B7-8D90-55440A832A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9"/>
              </a:ext>
            </a:extLst>
          </a:blip>
          <a:stretch>
            <a:fillRect/>
          </a:stretch>
        </xdr:blipFill>
        <xdr:spPr>
          <a:xfrm>
            <a:off x="5350565" y="1656521"/>
            <a:ext cx="226391" cy="226391"/>
          </a:xfrm>
          <a:prstGeom prst="rect">
            <a:avLst/>
          </a:prstGeom>
        </xdr:spPr>
      </xdr:pic>
    </xdr:grpSp>
    <xdr:clientData/>
  </xdr:twoCellAnchor>
  <xdr:oneCellAnchor>
    <xdr:from>
      <xdr:col>3</xdr:col>
      <xdr:colOff>44176</xdr:colOff>
      <xdr:row>1</xdr:row>
      <xdr:rowOff>392042</xdr:rowOff>
    </xdr:from>
    <xdr:ext cx="4776304" cy="265044"/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50884AF5-161A-43F8-9C30-7B7EF7948E21}"/>
            </a:ext>
          </a:extLst>
        </xdr:cNvPr>
        <xdr:cNvSpPr txBox="1"/>
      </xdr:nvSpPr>
      <xdr:spPr>
        <a:xfrm>
          <a:off x="2092741" y="706781"/>
          <a:ext cx="4776304" cy="2650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1050" b="0" i="1">
              <a:solidFill>
                <a:schemeClr val="bg1"/>
              </a:solidFill>
            </a:rPr>
            <a:t>En ninguna tabla de esta</a:t>
          </a:r>
          <a:r>
            <a:rPr lang="es-ES" sz="1050" b="0" i="1" baseline="0">
              <a:solidFill>
                <a:schemeClr val="bg1"/>
              </a:solidFill>
            </a:rPr>
            <a:t> aplicación se debe dejar filas en blanco o irrelevantes</a:t>
          </a:r>
          <a:endParaRPr lang="es-ES" sz="1050" b="0" i="1">
            <a:solidFill>
              <a:schemeClr val="bg1"/>
            </a:solidFill>
          </a:endParaRPr>
        </a:p>
      </xdr:txBody>
    </xdr:sp>
    <xdr:clientData/>
  </xdr:oneCellAnchor>
  <xdr:oneCellAnchor>
    <xdr:from>
      <xdr:col>3</xdr:col>
      <xdr:colOff>44174</xdr:colOff>
      <xdr:row>1</xdr:row>
      <xdr:rowOff>579781</xdr:rowOff>
    </xdr:from>
    <xdr:ext cx="8459303" cy="265044"/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2E36BB66-4BFB-4CA8-990F-D2E8F82C5D3D}"/>
            </a:ext>
          </a:extLst>
        </xdr:cNvPr>
        <xdr:cNvSpPr txBox="1"/>
      </xdr:nvSpPr>
      <xdr:spPr>
        <a:xfrm>
          <a:off x="2092739" y="894520"/>
          <a:ext cx="8459303" cy="2650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1050" b="0" i="1">
              <a:solidFill>
                <a:schemeClr val="bg1"/>
              </a:solidFill>
            </a:rPr>
            <a:t>"No</a:t>
          </a:r>
          <a:r>
            <a:rPr lang="es-ES" sz="1050" b="0" i="1" baseline="0">
              <a:solidFill>
                <a:schemeClr val="bg1"/>
              </a:solidFill>
            </a:rPr>
            <a:t> modificar" significa que el ítem ya ha sido utilizado en la página Diario y, para mantener coherencia los datos, no debe ser cambiado ni eliminado</a:t>
          </a:r>
          <a:endParaRPr lang="es-ES" sz="1050" b="0" i="1">
            <a:solidFill>
              <a:schemeClr val="bg1"/>
            </a:solidFill>
          </a:endParaRPr>
        </a:p>
      </xdr:txBody>
    </xdr:sp>
    <xdr:clientData/>
  </xdr:oneCellAnchor>
  <xdr:oneCellAnchor>
    <xdr:from>
      <xdr:col>3</xdr:col>
      <xdr:colOff>38653</xdr:colOff>
      <xdr:row>1</xdr:row>
      <xdr:rowOff>778564</xdr:rowOff>
    </xdr:from>
    <xdr:ext cx="8459303" cy="265044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B3E08B84-5855-4D4F-988C-4794A3D2B774}"/>
            </a:ext>
          </a:extLst>
        </xdr:cNvPr>
        <xdr:cNvSpPr txBox="1"/>
      </xdr:nvSpPr>
      <xdr:spPr>
        <a:xfrm>
          <a:off x="2087218" y="1093303"/>
          <a:ext cx="8459303" cy="2650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1050" b="0" i="1">
              <a:solidFill>
                <a:schemeClr val="bg1"/>
              </a:solidFill>
            </a:rPr>
            <a:t>(es necesario tener en cuenta que si se modifica un ítem en esta página, NO se actualizarán todos esos</a:t>
          </a:r>
          <a:r>
            <a:rPr lang="es-ES" sz="1050" b="0" i="1" baseline="0">
              <a:solidFill>
                <a:schemeClr val="bg1"/>
              </a:solidFill>
            </a:rPr>
            <a:t> ítems utilizados en la página Diario)</a:t>
          </a:r>
          <a:endParaRPr lang="es-ES" sz="1050" b="0" i="1">
            <a:solidFill>
              <a:schemeClr val="bg1"/>
            </a:solidFill>
          </a:endParaRPr>
        </a:p>
      </xdr:txBody>
    </xdr:sp>
    <xdr:clientData/>
  </xdr:oneCellAnchor>
  <xdr:twoCellAnchor editAs="oneCell">
    <xdr:from>
      <xdr:col>3</xdr:col>
      <xdr:colOff>121478</xdr:colOff>
      <xdr:row>1</xdr:row>
      <xdr:rowOff>132522</xdr:rowOff>
    </xdr:from>
    <xdr:to>
      <xdr:col>4</xdr:col>
      <xdr:colOff>287516</xdr:colOff>
      <xdr:row>1</xdr:row>
      <xdr:rowOff>398890</xdr:rowOff>
    </xdr:to>
    <xdr:pic>
      <xdr:nvPicPr>
        <xdr:cNvPr id="3" name="Gráfico 2" descr="Alta tensión con relleno sólido">
          <a:extLst>
            <a:ext uri="{FF2B5EF4-FFF2-40B4-BE49-F238E27FC236}">
              <a16:creationId xmlns:a16="http://schemas.microsoft.com/office/drawing/2014/main" id="{727D72EC-61A7-42E7-96F7-26F06F4C2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2"/>
            </a:ext>
          </a:extLst>
        </a:blip>
        <a:stretch>
          <a:fillRect/>
        </a:stretch>
      </xdr:blipFill>
      <xdr:spPr>
        <a:xfrm>
          <a:off x="2163638" y="437322"/>
          <a:ext cx="287958" cy="266368"/>
        </a:xfrm>
        <a:prstGeom prst="rect">
          <a:avLst/>
        </a:prstGeom>
      </xdr:spPr>
    </xdr:pic>
    <xdr:clientData/>
  </xdr:twoCellAnchor>
  <xdr:oneCellAnchor>
    <xdr:from>
      <xdr:col>7</xdr:col>
      <xdr:colOff>4495800</xdr:colOff>
      <xdr:row>1</xdr:row>
      <xdr:rowOff>508001</xdr:rowOff>
    </xdr:from>
    <xdr:ext cx="1244600" cy="241300"/>
    <xdr:sp macro="[0]!aplicarZoom" textlink="">
      <xdr:nvSpPr>
        <xdr:cNvPr id="10" name="CuadroTexto 9">
          <a:extLst>
            <a:ext uri="{FF2B5EF4-FFF2-40B4-BE49-F238E27FC236}">
              <a16:creationId xmlns:a16="http://schemas.microsoft.com/office/drawing/2014/main" id="{E567B648-5053-0267-8B55-A8C5C5A737CB}"/>
            </a:ext>
          </a:extLst>
        </xdr:cNvPr>
        <xdr:cNvSpPr txBox="1"/>
      </xdr:nvSpPr>
      <xdr:spPr>
        <a:xfrm>
          <a:off x="12776200" y="812801"/>
          <a:ext cx="1244600" cy="2413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_tradnl" sz="1200" u="sng">
              <a:solidFill>
                <a:schemeClr val="bg1"/>
              </a:solidFill>
            </a:rPr>
            <a:t>Aplicar</a:t>
          </a:r>
          <a:r>
            <a:rPr lang="es-ES_tradnl" sz="1200" u="sng" baseline="0">
              <a:solidFill>
                <a:schemeClr val="bg1"/>
              </a:solidFill>
            </a:rPr>
            <a:t> zoom %</a:t>
          </a:r>
          <a:endParaRPr lang="es-ES_tradnl" sz="1200" u="sng">
            <a:solidFill>
              <a:schemeClr val="bg1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2089727</xdr:colOff>
      <xdr:row>1</xdr:row>
      <xdr:rowOff>19766</xdr:rowOff>
    </xdr:from>
    <xdr:to>
      <xdr:col>4</xdr:col>
      <xdr:colOff>742951</xdr:colOff>
      <xdr:row>3</xdr:row>
      <xdr:rowOff>1464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Tipo de movimiento 1">
              <a:extLst>
                <a:ext uri="{FF2B5EF4-FFF2-40B4-BE49-F238E27FC236}">
                  <a16:creationId xmlns:a16="http://schemas.microsoft.com/office/drawing/2014/main" id="{A96E6194-0EFD-4DF0-BBD6-92D3928D38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movimi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4" y="332186"/>
              <a:ext cx="2922270" cy="10089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7257</xdr:colOff>
      <xdr:row>1</xdr:row>
      <xdr:rowOff>20310</xdr:rowOff>
    </xdr:from>
    <xdr:to>
      <xdr:col>2</xdr:col>
      <xdr:colOff>1905</xdr:colOff>
      <xdr:row>4</xdr:row>
      <xdr:rowOff>184727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Ingreso o gasto 1">
              <a:extLst>
                <a:ext uri="{FF2B5EF4-FFF2-40B4-BE49-F238E27FC236}">
                  <a16:creationId xmlns:a16="http://schemas.microsoft.com/office/drawing/2014/main" id="{4AFB489D-3C0E-47BA-91C8-3D0DFEC2CD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greso o gas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57" y="332730"/>
              <a:ext cx="1863997" cy="17094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32112</xdr:colOff>
      <xdr:row>3</xdr:row>
      <xdr:rowOff>57289</xdr:rowOff>
    </xdr:from>
    <xdr:to>
      <xdr:col>3</xdr:col>
      <xdr:colOff>723902</xdr:colOff>
      <xdr:row>3</xdr:row>
      <xdr:rowOff>550496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1340FCDE-0E1F-4D8D-8B03-8D274B32F140}"/>
            </a:ext>
          </a:extLst>
        </xdr:cNvPr>
        <xdr:cNvGrpSpPr/>
      </xdr:nvGrpSpPr>
      <xdr:grpSpPr>
        <a:xfrm>
          <a:off x="2074272" y="1390789"/>
          <a:ext cx="691790" cy="493207"/>
          <a:chOff x="2162979" y="1742943"/>
          <a:chExt cx="716650" cy="498650"/>
        </a:xfrm>
      </xdr:grpSpPr>
      <xdr:pic macro="[0]!agregarFilaMovimiento">
        <xdr:nvPicPr>
          <xdr:cNvPr id="13" name="Gráfico 12" descr="Insignia de seguir con relleno sólido">
            <a:extLst>
              <a:ext uri="{FF2B5EF4-FFF2-40B4-BE49-F238E27FC236}">
                <a16:creationId xmlns:a16="http://schemas.microsoft.com/office/drawing/2014/main" id="{96DA8FB7-0461-42EB-97B5-C9DBBA710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2361251" y="1742943"/>
            <a:ext cx="331693" cy="332600"/>
          </a:xfrm>
          <a:prstGeom prst="rect">
            <a:avLst/>
          </a:prstGeom>
        </xdr:spPr>
      </xdr:pic>
      <xdr:sp macro="[0]!expandirTabla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AE95B291-09AB-4559-89EF-77FE6C447DD6}"/>
              </a:ext>
            </a:extLst>
          </xdr:cNvPr>
          <xdr:cNvSpPr txBox="1"/>
        </xdr:nvSpPr>
        <xdr:spPr>
          <a:xfrm>
            <a:off x="2162979" y="1992084"/>
            <a:ext cx="716650" cy="2495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Agregar</a:t>
            </a:r>
          </a:p>
        </xdr:txBody>
      </xdr:sp>
    </xdr:grpSp>
    <xdr:clientData/>
  </xdr:twoCellAnchor>
  <xdr:twoCellAnchor editAs="absolute">
    <xdr:from>
      <xdr:col>3</xdr:col>
      <xdr:colOff>834029</xdr:colOff>
      <xdr:row>3</xdr:row>
      <xdr:rowOff>63131</xdr:rowOff>
    </xdr:from>
    <xdr:to>
      <xdr:col>4</xdr:col>
      <xdr:colOff>563881</xdr:colOff>
      <xdr:row>3</xdr:row>
      <xdr:rowOff>562284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EE8B0020-460C-467F-BC43-7F47DA00D418}"/>
            </a:ext>
          </a:extLst>
        </xdr:cNvPr>
        <xdr:cNvGrpSpPr/>
      </xdr:nvGrpSpPr>
      <xdr:grpSpPr>
        <a:xfrm>
          <a:off x="2876189" y="1396631"/>
          <a:ext cx="606152" cy="499153"/>
          <a:chOff x="3229209" y="1859057"/>
          <a:chExt cx="664602" cy="485950"/>
        </a:xfrm>
      </xdr:grpSpPr>
      <xdr:pic macro="[0]!ELiminarFilaMovimiento">
        <xdr:nvPicPr>
          <xdr:cNvPr id="11" name="Gráfico 10" descr="Insignia de cruz con relleno sólido">
            <a:extLst>
              <a:ext uri="{FF2B5EF4-FFF2-40B4-BE49-F238E27FC236}">
                <a16:creationId xmlns:a16="http://schemas.microsoft.com/office/drawing/2014/main" id="{D0C14982-FA2A-43A7-BFAF-A1D19D22A53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3414489" y="1859057"/>
            <a:ext cx="350832" cy="315429"/>
          </a:xfrm>
          <a:prstGeom prst="rect">
            <a:avLst/>
          </a:prstGeom>
        </xdr:spPr>
      </xdr:pic>
      <xdr:sp macro="[0]!expandirTabla" textlink="">
        <xdr:nvSpPr>
          <xdr:cNvPr id="20" name="CuadroTexto 19">
            <a:extLst>
              <a:ext uri="{FF2B5EF4-FFF2-40B4-BE49-F238E27FC236}">
                <a16:creationId xmlns:a16="http://schemas.microsoft.com/office/drawing/2014/main" id="{A4FF1D04-68C5-444B-B067-BC85E10B30A2}"/>
              </a:ext>
            </a:extLst>
          </xdr:cNvPr>
          <xdr:cNvSpPr txBox="1"/>
        </xdr:nvSpPr>
        <xdr:spPr>
          <a:xfrm>
            <a:off x="3229209" y="2095499"/>
            <a:ext cx="664602" cy="2495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Eliminar</a:t>
            </a:r>
          </a:p>
        </xdr:txBody>
      </xdr:sp>
    </xdr:grpSp>
    <xdr:clientData/>
  </xdr:twoCellAnchor>
  <xdr:twoCellAnchor editAs="absolute">
    <xdr:from>
      <xdr:col>4</xdr:col>
      <xdr:colOff>600883</xdr:colOff>
      <xdr:row>3</xdr:row>
      <xdr:rowOff>72750</xdr:rowOff>
    </xdr:from>
    <xdr:to>
      <xdr:col>4</xdr:col>
      <xdr:colOff>1493521</xdr:colOff>
      <xdr:row>3</xdr:row>
      <xdr:rowOff>555938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1CEA18D-A4B6-4875-8A5F-16B3AA457B11}"/>
            </a:ext>
          </a:extLst>
        </xdr:cNvPr>
        <xdr:cNvGrpSpPr/>
      </xdr:nvGrpSpPr>
      <xdr:grpSpPr>
        <a:xfrm>
          <a:off x="3519343" y="1406250"/>
          <a:ext cx="892638" cy="483188"/>
          <a:chOff x="3528986" y="1807935"/>
          <a:chExt cx="888599" cy="477201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C621F5AC-33D8-439B-BE7F-C3E9CA485595}"/>
              </a:ext>
            </a:extLst>
          </xdr:cNvPr>
          <xdr:cNvGrpSpPr/>
        </xdr:nvGrpSpPr>
        <xdr:grpSpPr>
          <a:xfrm>
            <a:off x="3764649" y="1807935"/>
            <a:ext cx="322942" cy="311150"/>
            <a:chOff x="2937329" y="1856921"/>
            <a:chExt cx="322942" cy="311150"/>
          </a:xfrm>
        </xdr:grpSpPr>
        <xdr:grpSp>
          <xdr:nvGrpSpPr>
            <xdr:cNvPr id="15" name="Grupo 14">
              <a:extLst>
                <a:ext uri="{FF2B5EF4-FFF2-40B4-BE49-F238E27FC236}">
                  <a16:creationId xmlns:a16="http://schemas.microsoft.com/office/drawing/2014/main" id="{48D1D04B-A042-4D7F-8809-BFDD58728473}"/>
                </a:ext>
              </a:extLst>
            </xdr:cNvPr>
            <xdr:cNvGrpSpPr/>
          </xdr:nvGrpSpPr>
          <xdr:grpSpPr>
            <a:xfrm>
              <a:off x="2937329" y="1856921"/>
              <a:ext cx="322942" cy="311150"/>
              <a:chOff x="2800350" y="1860550"/>
              <a:chExt cx="323850" cy="311150"/>
            </a:xfrm>
          </xdr:grpSpPr>
          <xdr:pic macro="[0]!duplicar">
            <xdr:nvPicPr>
              <xdr:cNvPr id="7" name="Gráfico 6" descr="Agua con relleno sólido">
                <a:extLst>
                  <a:ext uri="{FF2B5EF4-FFF2-40B4-BE49-F238E27FC236}">
                    <a16:creationId xmlns:a16="http://schemas.microsoft.com/office/drawing/2014/main" id="{4DDDB499-FB50-4DB7-BE16-BC2EC75DCBE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duotone>
                  <a:prstClr val="black"/>
                  <a:schemeClr val="accent1">
                    <a:tint val="45000"/>
                    <a:satMod val="400000"/>
                  </a:schemeClr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xmlns="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2800350" y="1860550"/>
                <a:ext cx="241300" cy="241300"/>
              </a:xfrm>
              <a:prstGeom prst="rect">
                <a:avLst/>
              </a:prstGeom>
            </xdr:spPr>
          </xdr:pic>
          <xdr:pic macro="[0]!duplicar">
            <xdr:nvPicPr>
              <xdr:cNvPr id="14" name="Gráfico 13" descr="Agua con relleno sólido">
                <a:extLst>
                  <a:ext uri="{FF2B5EF4-FFF2-40B4-BE49-F238E27FC236}">
                    <a16:creationId xmlns:a16="http://schemas.microsoft.com/office/drawing/2014/main" id="{28BEE9D6-5991-47BA-B2D8-0DAB9F28EB3E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xmlns="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2882900" y="1930400"/>
                <a:ext cx="241300" cy="241300"/>
              </a:xfrm>
              <a:prstGeom prst="rect">
                <a:avLst/>
              </a:prstGeom>
            </xdr:spPr>
          </xdr:pic>
        </xdr:grpSp>
        <xdr:pic macro="[0]!duplicar">
          <xdr:nvPicPr>
            <xdr:cNvPr id="16" name="Gráfico 15" descr="Insignia de seguir con relleno sólido">
              <a:extLst>
                <a:ext uri="{FF2B5EF4-FFF2-40B4-BE49-F238E27FC236}">
                  <a16:creationId xmlns:a16="http://schemas.microsoft.com/office/drawing/2014/main" id="{08943C60-5D54-4877-96B3-08926DC4D4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2"/>
                </a:ext>
              </a:extLst>
            </a:blip>
            <a:stretch>
              <a:fillRect/>
            </a:stretch>
          </xdr:blipFill>
          <xdr:spPr>
            <a:xfrm>
              <a:off x="3079708" y="1862686"/>
              <a:ext cx="161616" cy="162058"/>
            </a:xfrm>
            <a:prstGeom prst="rect">
              <a:avLst/>
            </a:prstGeom>
          </xdr:spPr>
        </xdr:pic>
      </xdr:grpSp>
      <xdr:sp macro="[0]!duplicar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1856F191-E919-41EC-9A0B-3AC256D95771}"/>
              </a:ext>
            </a:extLst>
          </xdr:cNvPr>
          <xdr:cNvSpPr txBox="1"/>
        </xdr:nvSpPr>
        <xdr:spPr>
          <a:xfrm>
            <a:off x="3528986" y="2035628"/>
            <a:ext cx="888599" cy="2495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Duplicar fila</a:t>
            </a:r>
          </a:p>
        </xdr:txBody>
      </xdr:sp>
    </xdr:grpSp>
    <xdr:clientData/>
  </xdr:twoCellAnchor>
  <xdr:twoCellAnchor editAs="absolute">
    <xdr:from>
      <xdr:col>5</xdr:col>
      <xdr:colOff>1647671</xdr:colOff>
      <xdr:row>3</xdr:row>
      <xdr:rowOff>91668</xdr:rowOff>
    </xdr:from>
    <xdr:to>
      <xdr:col>6</xdr:col>
      <xdr:colOff>624839</xdr:colOff>
      <xdr:row>3</xdr:row>
      <xdr:rowOff>555938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1EC0A70D-D1E7-4202-8E12-52BBB1773968}"/>
            </a:ext>
          </a:extLst>
        </xdr:cNvPr>
        <xdr:cNvGrpSpPr/>
      </xdr:nvGrpSpPr>
      <xdr:grpSpPr>
        <a:xfrm>
          <a:off x="6577811" y="1425168"/>
          <a:ext cx="1080288" cy="464270"/>
          <a:chOff x="4411716" y="1817328"/>
          <a:chExt cx="1097848" cy="467808"/>
        </a:xfrm>
      </xdr:grpSpPr>
      <xdr:pic macro="[0]!masRecientesArriba">
        <xdr:nvPicPr>
          <xdr:cNvPr id="9" name="Gráfico 8" descr="Prioridades con relleno sólido">
            <a:extLst>
              <a:ext uri="{FF2B5EF4-FFF2-40B4-BE49-F238E27FC236}">
                <a16:creationId xmlns:a16="http://schemas.microsoft.com/office/drawing/2014/main" id="{90399347-0545-42CD-8679-4E01984FD9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1"/>
              </a:ext>
            </a:extLst>
          </a:blip>
          <a:stretch>
            <a:fillRect/>
          </a:stretch>
        </xdr:blipFill>
        <xdr:spPr>
          <a:xfrm>
            <a:off x="4761918" y="1817328"/>
            <a:ext cx="289643" cy="289643"/>
          </a:xfrm>
          <a:prstGeom prst="rect">
            <a:avLst/>
          </a:prstGeom>
        </xdr:spPr>
      </xdr:pic>
      <xdr:sp macro="[0]!masRecientesArriba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68FCDBDE-4829-4BA8-BB2E-D0974A719FD1}"/>
              </a:ext>
            </a:extLst>
          </xdr:cNvPr>
          <xdr:cNvSpPr txBox="1"/>
        </xdr:nvSpPr>
        <xdr:spPr>
          <a:xfrm>
            <a:off x="4411716" y="2035628"/>
            <a:ext cx="1097848" cy="2495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Arriba</a:t>
            </a:r>
            <a:r>
              <a:rPr lang="es-ES" sz="1000" b="1" baseline="0">
                <a:solidFill>
                  <a:schemeClr val="accent1">
                    <a:lumMod val="75000"/>
                  </a:schemeClr>
                </a:solidFill>
              </a:rPr>
              <a:t> actuales</a:t>
            </a:r>
            <a:endParaRPr lang="es-ES" sz="1000" b="1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580962</xdr:colOff>
      <xdr:row>3</xdr:row>
      <xdr:rowOff>96797</xdr:rowOff>
    </xdr:from>
    <xdr:to>
      <xdr:col>7</xdr:col>
      <xdr:colOff>746762</xdr:colOff>
      <xdr:row>3</xdr:row>
      <xdr:rowOff>555938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AA789118-6BB8-4DD3-8746-4AB8FB4E84E0}"/>
            </a:ext>
          </a:extLst>
        </xdr:cNvPr>
        <xdr:cNvGrpSpPr/>
      </xdr:nvGrpSpPr>
      <xdr:grpSpPr>
        <a:xfrm>
          <a:off x="7614222" y="1430297"/>
          <a:ext cx="1011620" cy="459141"/>
          <a:chOff x="5588742" y="1816742"/>
          <a:chExt cx="1014783" cy="468394"/>
        </a:xfrm>
      </xdr:grpSpPr>
      <xdr:pic macro="[0]!masRecientesAbajo">
        <xdr:nvPicPr>
          <xdr:cNvPr id="12" name="Gráfico 11" descr="Prioridades con relleno sólido">
            <a:extLst>
              <a:ext uri="{FF2B5EF4-FFF2-40B4-BE49-F238E27FC236}">
                <a16:creationId xmlns:a16="http://schemas.microsoft.com/office/drawing/2014/main" id="{3639FF21-FCE5-4E2B-A3AD-EA158C2D52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3"/>
              </a:ext>
            </a:extLst>
          </a:blip>
          <a:stretch>
            <a:fillRect/>
          </a:stretch>
        </xdr:blipFill>
        <xdr:spPr>
          <a:xfrm>
            <a:off x="5923384" y="1816742"/>
            <a:ext cx="289643" cy="289643"/>
          </a:xfrm>
          <a:prstGeom prst="rect">
            <a:avLst/>
          </a:prstGeom>
        </xdr:spPr>
      </xdr:pic>
      <xdr:sp macro="[0]!masRecientesAbajo" textlink="">
        <xdr:nvSpPr>
          <xdr:cNvPr id="25" name="CuadroTexto 24">
            <a:extLst>
              <a:ext uri="{FF2B5EF4-FFF2-40B4-BE49-F238E27FC236}">
                <a16:creationId xmlns:a16="http://schemas.microsoft.com/office/drawing/2014/main" id="{10681BDA-E25C-4AFC-B73A-3C008DAFC675}"/>
              </a:ext>
            </a:extLst>
          </xdr:cNvPr>
          <xdr:cNvSpPr txBox="1"/>
        </xdr:nvSpPr>
        <xdr:spPr>
          <a:xfrm>
            <a:off x="5588742" y="2035628"/>
            <a:ext cx="1014783" cy="2495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Abajo actuales</a:t>
            </a:r>
          </a:p>
        </xdr:txBody>
      </xdr:sp>
    </xdr:grpSp>
    <xdr:clientData/>
  </xdr:twoCellAnchor>
  <xdr:twoCellAnchor editAs="absolute">
    <xdr:from>
      <xdr:col>7</xdr:col>
      <xdr:colOff>678587</xdr:colOff>
      <xdr:row>3</xdr:row>
      <xdr:rowOff>95780</xdr:rowOff>
    </xdr:from>
    <xdr:to>
      <xdr:col>7</xdr:col>
      <xdr:colOff>1607821</xdr:colOff>
      <xdr:row>3</xdr:row>
      <xdr:rowOff>550057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899920D3-328A-49E7-A81E-AF88EA5D8417}"/>
            </a:ext>
          </a:extLst>
        </xdr:cNvPr>
        <xdr:cNvGrpSpPr/>
      </xdr:nvGrpSpPr>
      <xdr:grpSpPr>
        <a:xfrm>
          <a:off x="8557667" y="1429280"/>
          <a:ext cx="929234" cy="454277"/>
          <a:chOff x="2523097" y="1699354"/>
          <a:chExt cx="952243" cy="448435"/>
        </a:xfrm>
      </xdr:grpSpPr>
      <xdr:grpSp>
        <xdr:nvGrpSpPr>
          <xdr:cNvPr id="29" name="Grupo 28">
            <a:extLst>
              <a:ext uri="{FF2B5EF4-FFF2-40B4-BE49-F238E27FC236}">
                <a16:creationId xmlns:a16="http://schemas.microsoft.com/office/drawing/2014/main" id="{78D52D0E-DA67-4E3F-B4A0-2D4867619169}"/>
              </a:ext>
            </a:extLst>
          </xdr:cNvPr>
          <xdr:cNvGrpSpPr/>
        </xdr:nvGrpSpPr>
        <xdr:grpSpPr>
          <a:xfrm>
            <a:off x="2845304" y="1699354"/>
            <a:ext cx="291787" cy="264400"/>
            <a:chOff x="6894789" y="1526068"/>
            <a:chExt cx="233179" cy="211294"/>
          </a:xfrm>
        </xdr:grpSpPr>
        <xdr:pic macro="[0]!quitarFiltroTablaDiario">
          <xdr:nvPicPr>
            <xdr:cNvPr id="31" name="Gráfico 30" descr="Cerrar con relleno sólido">
              <a:extLst>
                <a:ext uri="{FF2B5EF4-FFF2-40B4-BE49-F238E27FC236}">
                  <a16:creationId xmlns:a16="http://schemas.microsoft.com/office/drawing/2014/main" id="{6A126CCD-1862-4EA4-A0E8-33CDFC9562E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15"/>
                </a:ext>
              </a:extLst>
            </a:blip>
            <a:stretch>
              <a:fillRect/>
            </a:stretch>
          </xdr:blipFill>
          <xdr:spPr>
            <a:xfrm>
              <a:off x="7014756" y="1624150"/>
              <a:ext cx="113212" cy="113212"/>
            </a:xfrm>
            <a:prstGeom prst="rect">
              <a:avLst/>
            </a:prstGeom>
          </xdr:spPr>
        </xdr:pic>
        <xdr:pic macro="[0]!quitarFiltroTablaDiario">
          <xdr:nvPicPr>
            <xdr:cNvPr id="32" name="Gráfico 31" descr="Filtro con relleno sólido">
              <a:extLst>
                <a:ext uri="{FF2B5EF4-FFF2-40B4-BE49-F238E27FC236}">
                  <a16:creationId xmlns:a16="http://schemas.microsoft.com/office/drawing/2014/main" id="{6B1AEB91-EAA5-42D5-8B46-DCBD6F51586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17"/>
                </a:ext>
              </a:extLst>
            </a:blip>
            <a:stretch>
              <a:fillRect/>
            </a:stretch>
          </xdr:blipFill>
          <xdr:spPr>
            <a:xfrm>
              <a:off x="6894789" y="1526068"/>
              <a:ext cx="198343" cy="198343"/>
            </a:xfrm>
            <a:prstGeom prst="rect">
              <a:avLst/>
            </a:prstGeom>
          </xdr:spPr>
        </xdr:pic>
      </xdr:grpSp>
      <xdr:sp macro="[0]!quitarFiltroTablaDiario" textlink="">
        <xdr:nvSpPr>
          <xdr:cNvPr id="30" name="CuadroTexto 29">
            <a:extLst>
              <a:ext uri="{FF2B5EF4-FFF2-40B4-BE49-F238E27FC236}">
                <a16:creationId xmlns:a16="http://schemas.microsoft.com/office/drawing/2014/main" id="{B3C6CEEA-010B-4CB2-AAF1-A62245DE954E}"/>
              </a:ext>
            </a:extLst>
          </xdr:cNvPr>
          <xdr:cNvSpPr txBox="1"/>
        </xdr:nvSpPr>
        <xdr:spPr>
          <a:xfrm>
            <a:off x="2523097" y="1902823"/>
            <a:ext cx="952243" cy="2449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Quitar filtros</a:t>
            </a:r>
          </a:p>
        </xdr:txBody>
      </xdr:sp>
    </xdr:grpSp>
    <xdr:clientData/>
  </xdr:twoCellAnchor>
  <xdr:twoCellAnchor editAs="absolute">
    <xdr:from>
      <xdr:col>5</xdr:col>
      <xdr:colOff>302147</xdr:colOff>
      <xdr:row>3</xdr:row>
      <xdr:rowOff>20681</xdr:rowOff>
    </xdr:from>
    <xdr:to>
      <xdr:col>5</xdr:col>
      <xdr:colOff>883921</xdr:colOff>
      <xdr:row>3</xdr:row>
      <xdr:rowOff>555938</xdr:rowOff>
    </xdr:to>
    <xdr:grpSp>
      <xdr:nvGrpSpPr>
        <xdr:cNvPr id="47" name="Grupo 46">
          <a:extLst>
            <a:ext uri="{FF2B5EF4-FFF2-40B4-BE49-F238E27FC236}">
              <a16:creationId xmlns:a16="http://schemas.microsoft.com/office/drawing/2014/main" id="{3E69FDDA-9F9E-48A2-817E-2F532A823736}"/>
            </a:ext>
          </a:extLst>
        </xdr:cNvPr>
        <xdr:cNvGrpSpPr/>
      </xdr:nvGrpSpPr>
      <xdr:grpSpPr>
        <a:xfrm>
          <a:off x="5232287" y="1354181"/>
          <a:ext cx="581774" cy="535257"/>
          <a:chOff x="4658694" y="1758043"/>
          <a:chExt cx="560617" cy="527093"/>
        </a:xfrm>
      </xdr:grpSpPr>
      <xdr:sp macro="[0]!aumentarMes" textlink="">
        <xdr:nvSpPr>
          <xdr:cNvPr id="35" name="CuadroTexto 34">
            <a:extLst>
              <a:ext uri="{FF2B5EF4-FFF2-40B4-BE49-F238E27FC236}">
                <a16:creationId xmlns:a16="http://schemas.microsoft.com/office/drawing/2014/main" id="{DD3B45FD-08F2-4822-9C25-2063631D79F8}"/>
              </a:ext>
            </a:extLst>
          </xdr:cNvPr>
          <xdr:cNvSpPr txBox="1"/>
        </xdr:nvSpPr>
        <xdr:spPr>
          <a:xfrm>
            <a:off x="4658694" y="2035628"/>
            <a:ext cx="560617" cy="2495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+ mes</a:t>
            </a:r>
          </a:p>
        </xdr:txBody>
      </xdr:sp>
      <xdr:pic macro="[0]!aumentarMes">
        <xdr:nvPicPr>
          <xdr:cNvPr id="41" name="Gráfico 40" descr="Calendario con relleno sólido">
            <a:extLst>
              <a:ext uri="{FF2B5EF4-FFF2-40B4-BE49-F238E27FC236}">
                <a16:creationId xmlns:a16="http://schemas.microsoft.com/office/drawing/2014/main" id="{B89534AB-3204-41EF-832C-6EAF01C46A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9"/>
              </a:ext>
            </a:extLst>
          </a:blip>
          <a:stretch>
            <a:fillRect/>
          </a:stretch>
        </xdr:blipFill>
        <xdr:spPr>
          <a:xfrm>
            <a:off x="4833256" y="1883228"/>
            <a:ext cx="283029" cy="244927"/>
          </a:xfrm>
          <a:prstGeom prst="rect">
            <a:avLst/>
          </a:prstGeom>
        </xdr:spPr>
      </xdr:pic>
      <xdr:pic macro="[0]!aumentarMes">
        <xdr:nvPicPr>
          <xdr:cNvPr id="43" name="Gráfico 42" descr="Signo de intercalación hacia arriba con relleno sólido">
            <a:extLst>
              <a:ext uri="{FF2B5EF4-FFF2-40B4-BE49-F238E27FC236}">
                <a16:creationId xmlns:a16="http://schemas.microsoft.com/office/drawing/2014/main" id="{182A87A9-920A-49DF-96B5-8BBF35C120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1"/>
              </a:ext>
            </a:extLst>
          </a:blip>
          <a:stretch>
            <a:fillRect/>
          </a:stretch>
        </xdr:blipFill>
        <xdr:spPr>
          <a:xfrm>
            <a:off x="4855028" y="1758043"/>
            <a:ext cx="223158" cy="22315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1022577</xdr:colOff>
      <xdr:row>3</xdr:row>
      <xdr:rowOff>20681</xdr:rowOff>
    </xdr:from>
    <xdr:to>
      <xdr:col>5</xdr:col>
      <xdr:colOff>1638299</xdr:colOff>
      <xdr:row>3</xdr:row>
      <xdr:rowOff>555938</xdr:rowOff>
    </xdr:to>
    <xdr:grpSp>
      <xdr:nvGrpSpPr>
        <xdr:cNvPr id="54" name="Grupo 53">
          <a:extLst>
            <a:ext uri="{FF2B5EF4-FFF2-40B4-BE49-F238E27FC236}">
              <a16:creationId xmlns:a16="http://schemas.microsoft.com/office/drawing/2014/main" id="{28714B47-6D80-43AB-9DB6-A99B4C5694EA}"/>
            </a:ext>
          </a:extLst>
        </xdr:cNvPr>
        <xdr:cNvGrpSpPr/>
      </xdr:nvGrpSpPr>
      <xdr:grpSpPr>
        <a:xfrm>
          <a:off x="5952717" y="1354181"/>
          <a:ext cx="615722" cy="535257"/>
          <a:chOff x="5635275" y="1758043"/>
          <a:chExt cx="576616" cy="527093"/>
        </a:xfrm>
      </xdr:grpSpPr>
      <xdr:sp macro="[0]!disminuirMes" textlink="">
        <xdr:nvSpPr>
          <xdr:cNvPr id="49" name="CuadroTexto 48">
            <a:extLst>
              <a:ext uri="{FF2B5EF4-FFF2-40B4-BE49-F238E27FC236}">
                <a16:creationId xmlns:a16="http://schemas.microsoft.com/office/drawing/2014/main" id="{989F722E-8680-41CB-9949-5EF03DC0E0DF}"/>
              </a:ext>
            </a:extLst>
          </xdr:cNvPr>
          <xdr:cNvSpPr txBox="1"/>
        </xdr:nvSpPr>
        <xdr:spPr>
          <a:xfrm>
            <a:off x="5635275" y="2035628"/>
            <a:ext cx="576616" cy="2495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- mes</a:t>
            </a:r>
          </a:p>
        </xdr:txBody>
      </xdr:sp>
      <xdr:pic macro="[0]!disminuirMes">
        <xdr:nvPicPr>
          <xdr:cNvPr id="50" name="Gráfico 49" descr="Calendario con relleno sólido">
            <a:extLst>
              <a:ext uri="{FF2B5EF4-FFF2-40B4-BE49-F238E27FC236}">
                <a16:creationId xmlns:a16="http://schemas.microsoft.com/office/drawing/2014/main" id="{A4AA7384-C371-4301-94E6-CDB4A2F76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9"/>
              </a:ext>
            </a:extLst>
          </a:blip>
          <a:stretch>
            <a:fillRect/>
          </a:stretch>
        </xdr:blipFill>
        <xdr:spPr>
          <a:xfrm>
            <a:off x="5802086" y="1883228"/>
            <a:ext cx="283029" cy="244927"/>
          </a:xfrm>
          <a:prstGeom prst="rect">
            <a:avLst/>
          </a:prstGeom>
        </xdr:spPr>
      </xdr:pic>
      <xdr:pic macro="[0]!disminuirMes">
        <xdr:nvPicPr>
          <xdr:cNvPr id="51" name="Gráfico 50">
            <a:extLst>
              <a:ext uri="{FF2B5EF4-FFF2-40B4-BE49-F238E27FC236}">
                <a16:creationId xmlns:a16="http://schemas.microsoft.com/office/drawing/2014/main" id="{92411F31-E5D0-4D6D-8A30-318E890570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4"/>
              </a:ext>
            </a:extLst>
          </a:blip>
          <a:srcRect/>
          <a:stretch/>
        </xdr:blipFill>
        <xdr:spPr>
          <a:xfrm>
            <a:off x="5823858" y="1758043"/>
            <a:ext cx="223158" cy="223158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1433947</xdr:colOff>
      <xdr:row>3</xdr:row>
      <xdr:rowOff>60958</xdr:rowOff>
    </xdr:from>
    <xdr:to>
      <xdr:col>5</xdr:col>
      <xdr:colOff>214748</xdr:colOff>
      <xdr:row>3</xdr:row>
      <xdr:rowOff>550743</xdr:rowOff>
    </xdr:to>
    <xdr:grpSp>
      <xdr:nvGrpSpPr>
        <xdr:cNvPr id="61" name="Grupo 60">
          <a:extLst>
            <a:ext uri="{FF2B5EF4-FFF2-40B4-BE49-F238E27FC236}">
              <a16:creationId xmlns:a16="http://schemas.microsoft.com/office/drawing/2014/main" id="{5EA94766-D47E-48C5-9B18-05CB00285DCA}"/>
            </a:ext>
          </a:extLst>
        </xdr:cNvPr>
        <xdr:cNvGrpSpPr/>
      </xdr:nvGrpSpPr>
      <xdr:grpSpPr>
        <a:xfrm>
          <a:off x="4352407" y="1394458"/>
          <a:ext cx="792481" cy="489785"/>
          <a:chOff x="4485138" y="1796143"/>
          <a:chExt cx="890678" cy="483861"/>
        </a:xfrm>
      </xdr:grpSpPr>
      <xdr:sp macro="[0]!insertarHoy" textlink="">
        <xdr:nvSpPr>
          <xdr:cNvPr id="56" name="CuadroTexto 55">
            <a:extLst>
              <a:ext uri="{FF2B5EF4-FFF2-40B4-BE49-F238E27FC236}">
                <a16:creationId xmlns:a16="http://schemas.microsoft.com/office/drawing/2014/main" id="{C6DE5FE7-AD62-4711-B2FB-E16083FF2B97}"/>
              </a:ext>
            </a:extLst>
          </xdr:cNvPr>
          <xdr:cNvSpPr txBox="1"/>
        </xdr:nvSpPr>
        <xdr:spPr>
          <a:xfrm>
            <a:off x="4485138" y="2038747"/>
            <a:ext cx="890678" cy="2412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Insertar hoy</a:t>
            </a:r>
          </a:p>
        </xdr:txBody>
      </xdr:sp>
      <xdr:pic macro="[0]!insertarHoy">
        <xdr:nvPicPr>
          <xdr:cNvPr id="60" name="Gráfico 59" descr="Calendario giratorio con relleno sólido">
            <a:extLst>
              <a:ext uri="{FF2B5EF4-FFF2-40B4-BE49-F238E27FC236}">
                <a16:creationId xmlns:a16="http://schemas.microsoft.com/office/drawing/2014/main" id="{0AA8214D-257D-4249-8910-1E68A5B3D2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6"/>
              </a:ext>
            </a:extLst>
          </a:blip>
          <a:stretch>
            <a:fillRect/>
          </a:stretch>
        </xdr:blipFill>
        <xdr:spPr>
          <a:xfrm>
            <a:off x="4800598" y="1796143"/>
            <a:ext cx="332016" cy="332016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709249</xdr:colOff>
      <xdr:row>3</xdr:row>
      <xdr:rowOff>92241</xdr:rowOff>
    </xdr:from>
    <xdr:to>
      <xdr:col>10</xdr:col>
      <xdr:colOff>68585</xdr:colOff>
      <xdr:row>3</xdr:row>
      <xdr:rowOff>555843</xdr:rowOff>
    </xdr:to>
    <xdr:grpSp>
      <xdr:nvGrpSpPr>
        <xdr:cNvPr id="68" name="Grupo 67">
          <a:extLst>
            <a:ext uri="{FF2B5EF4-FFF2-40B4-BE49-F238E27FC236}">
              <a16:creationId xmlns:a16="http://schemas.microsoft.com/office/drawing/2014/main" id="{4C4CC2E9-5678-4C3E-8FFF-03CCC615D6C2}"/>
            </a:ext>
          </a:extLst>
        </xdr:cNvPr>
        <xdr:cNvGrpSpPr/>
      </xdr:nvGrpSpPr>
      <xdr:grpSpPr>
        <a:xfrm>
          <a:off x="11925889" y="1425741"/>
          <a:ext cx="647116" cy="463602"/>
          <a:chOff x="10620583" y="1817901"/>
          <a:chExt cx="687228" cy="456345"/>
        </a:xfrm>
      </xdr:grpSpPr>
      <xdr:grpSp>
        <xdr:nvGrpSpPr>
          <xdr:cNvPr id="66" name="Grupo 65">
            <a:extLst>
              <a:ext uri="{FF2B5EF4-FFF2-40B4-BE49-F238E27FC236}">
                <a16:creationId xmlns:a16="http://schemas.microsoft.com/office/drawing/2014/main" id="{68BFD75E-47AB-45FD-B0C1-6C92D6495608}"/>
              </a:ext>
            </a:extLst>
          </xdr:cNvPr>
          <xdr:cNvGrpSpPr/>
        </xdr:nvGrpSpPr>
        <xdr:grpSpPr>
          <a:xfrm>
            <a:off x="10817369" y="1817901"/>
            <a:ext cx="314871" cy="261255"/>
            <a:chOff x="11960360" y="2320359"/>
            <a:chExt cx="394134" cy="341196"/>
          </a:xfrm>
        </xdr:grpSpPr>
        <xdr:pic macro="[0]!vaciarTabla">
          <xdr:nvPicPr>
            <xdr:cNvPr id="63" name="Gráfico 62" descr="Basura con relleno sólido">
              <a:extLst>
                <a:ext uri="{FF2B5EF4-FFF2-40B4-BE49-F238E27FC236}">
                  <a16:creationId xmlns:a16="http://schemas.microsoft.com/office/drawing/2014/main" id="{4A033C87-69BD-41FA-A051-6C6A5F472B4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28"/>
                </a:ext>
              </a:extLst>
            </a:blip>
            <a:stretch>
              <a:fillRect/>
            </a:stretch>
          </xdr:blipFill>
          <xdr:spPr>
            <a:xfrm>
              <a:off x="11960360" y="2356755"/>
              <a:ext cx="304800" cy="304800"/>
            </a:xfrm>
            <a:prstGeom prst="rect">
              <a:avLst/>
            </a:prstGeom>
          </xdr:spPr>
        </xdr:pic>
        <xdr:pic macro="[0]!vaciarTabla">
          <xdr:nvPicPr>
            <xdr:cNvPr id="65" name="Gráfico 64" descr="Radioactivo con relleno sólido">
              <a:extLst>
                <a:ext uri="{FF2B5EF4-FFF2-40B4-BE49-F238E27FC236}">
                  <a16:creationId xmlns:a16="http://schemas.microsoft.com/office/drawing/2014/main" id="{09C63DCA-33DD-4362-9638-C6726664AFE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30"/>
                </a:ext>
              </a:extLst>
            </a:blip>
            <a:stretch>
              <a:fillRect/>
            </a:stretch>
          </xdr:blipFill>
          <xdr:spPr>
            <a:xfrm>
              <a:off x="12191008" y="2320359"/>
              <a:ext cx="163486" cy="163488"/>
            </a:xfrm>
            <a:prstGeom prst="rect">
              <a:avLst/>
            </a:prstGeom>
          </xdr:spPr>
        </xdr:pic>
      </xdr:grpSp>
      <xdr:sp macro="[0]!vaciarTabla" textlink="">
        <xdr:nvSpPr>
          <xdr:cNvPr id="67" name="CuadroTexto 66">
            <a:extLst>
              <a:ext uri="{FF2B5EF4-FFF2-40B4-BE49-F238E27FC236}">
                <a16:creationId xmlns:a16="http://schemas.microsoft.com/office/drawing/2014/main" id="{716540E3-C7DE-4E69-8CDD-684431C24DED}"/>
              </a:ext>
            </a:extLst>
          </xdr:cNvPr>
          <xdr:cNvSpPr txBox="1"/>
        </xdr:nvSpPr>
        <xdr:spPr>
          <a:xfrm>
            <a:off x="10620583" y="2024742"/>
            <a:ext cx="687228" cy="2495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ES" sz="1000" b="1">
                <a:solidFill>
                  <a:srgbClr val="C00000"/>
                </a:solidFill>
              </a:rPr>
              <a:t>Vaciar</a:t>
            </a:r>
          </a:p>
        </xdr:txBody>
      </xdr:sp>
    </xdr:grpSp>
    <xdr:clientData/>
  </xdr:twoCellAnchor>
  <xdr:twoCellAnchor editAs="absolute">
    <xdr:from>
      <xdr:col>7</xdr:col>
      <xdr:colOff>1638069</xdr:colOff>
      <xdr:row>3</xdr:row>
      <xdr:rowOff>98648</xdr:rowOff>
    </xdr:from>
    <xdr:to>
      <xdr:col>7</xdr:col>
      <xdr:colOff>2362201</xdr:colOff>
      <xdr:row>3</xdr:row>
      <xdr:rowOff>555556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7DABA912-F8E1-42F6-B643-F5C81418637D}"/>
            </a:ext>
          </a:extLst>
        </xdr:cNvPr>
        <xdr:cNvGrpSpPr/>
      </xdr:nvGrpSpPr>
      <xdr:grpSpPr>
        <a:xfrm>
          <a:off x="9517149" y="1432148"/>
          <a:ext cx="724132" cy="456908"/>
          <a:chOff x="9597359" y="1424528"/>
          <a:chExt cx="724804" cy="439763"/>
        </a:xfrm>
      </xdr:grpSpPr>
      <xdr:pic macro="[0]!bajarTabla">
        <xdr:nvPicPr>
          <xdr:cNvPr id="8" name="Gráfico 7" descr="Flechas de cheurón con relleno sólido">
            <a:extLst>
              <a:ext uri="{FF2B5EF4-FFF2-40B4-BE49-F238E27FC236}">
                <a16:creationId xmlns:a16="http://schemas.microsoft.com/office/drawing/2014/main" id="{51BDA384-E86F-49EA-A01A-2795050EAE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2"/>
              </a:ext>
            </a:extLst>
          </a:blip>
          <a:stretch>
            <a:fillRect/>
          </a:stretch>
        </xdr:blipFill>
        <xdr:spPr>
          <a:xfrm rot="16200000">
            <a:off x="9844834" y="1371394"/>
            <a:ext cx="221392" cy="327660"/>
          </a:xfrm>
          <a:prstGeom prst="rect">
            <a:avLst/>
          </a:prstGeom>
        </xdr:spPr>
      </xdr:pic>
      <xdr:sp macro="[0]!bajarTabla" textlink="">
        <xdr:nvSpPr>
          <xdr:cNvPr id="48" name="CuadroTexto 47">
            <a:extLst>
              <a:ext uri="{FF2B5EF4-FFF2-40B4-BE49-F238E27FC236}">
                <a16:creationId xmlns:a16="http://schemas.microsoft.com/office/drawing/2014/main" id="{C3313737-460F-4595-8FF9-FC5825B0B6E2}"/>
              </a:ext>
            </a:extLst>
          </xdr:cNvPr>
          <xdr:cNvSpPr txBox="1"/>
        </xdr:nvSpPr>
        <xdr:spPr>
          <a:xfrm>
            <a:off x="9597359" y="1615440"/>
            <a:ext cx="724804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Ir al final</a:t>
            </a:r>
          </a:p>
        </xdr:txBody>
      </xdr:sp>
    </xdr:grpSp>
    <xdr:clientData/>
  </xdr:twoCellAnchor>
  <xdr:twoCellAnchor editAs="absolute">
    <xdr:from>
      <xdr:col>7</xdr:col>
      <xdr:colOff>2288310</xdr:colOff>
      <xdr:row>3</xdr:row>
      <xdr:rowOff>91441</xdr:rowOff>
    </xdr:from>
    <xdr:to>
      <xdr:col>8</xdr:col>
      <xdr:colOff>91442</xdr:colOff>
      <xdr:row>3</xdr:row>
      <xdr:rowOff>561907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662BB705-7BD3-4C88-B248-7F58CF3DA1AD}"/>
            </a:ext>
          </a:extLst>
        </xdr:cNvPr>
        <xdr:cNvGrpSpPr/>
      </xdr:nvGrpSpPr>
      <xdr:grpSpPr>
        <a:xfrm>
          <a:off x="10167390" y="1424941"/>
          <a:ext cx="1140692" cy="470466"/>
          <a:chOff x="10176828" y="1424940"/>
          <a:chExt cx="1120345" cy="445362"/>
        </a:xfrm>
      </xdr:grpSpPr>
      <xdr:sp macro="[0]!subirTabla" textlink="">
        <xdr:nvSpPr>
          <xdr:cNvPr id="52" name="CuadroTexto 51">
            <a:extLst>
              <a:ext uri="{FF2B5EF4-FFF2-40B4-BE49-F238E27FC236}">
                <a16:creationId xmlns:a16="http://schemas.microsoft.com/office/drawing/2014/main" id="{229FB1D3-31C6-4525-8F38-752E6DE39E64}"/>
              </a:ext>
            </a:extLst>
          </xdr:cNvPr>
          <xdr:cNvSpPr txBox="1"/>
        </xdr:nvSpPr>
        <xdr:spPr>
          <a:xfrm>
            <a:off x="10176828" y="1621451"/>
            <a:ext cx="1120345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Ir al principio</a:t>
            </a:r>
          </a:p>
        </xdr:txBody>
      </xdr:sp>
      <xdr:pic macro="[0]!subirTabla">
        <xdr:nvPicPr>
          <xdr:cNvPr id="53" name="Gráfico 52" descr="Flechas de cheurón con relleno sólido">
            <a:extLst>
              <a:ext uri="{FF2B5EF4-FFF2-40B4-BE49-F238E27FC236}">
                <a16:creationId xmlns:a16="http://schemas.microsoft.com/office/drawing/2014/main" id="{D10F62AD-69E3-4992-9874-E44CB7215F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2"/>
              </a:ext>
            </a:extLst>
          </a:blip>
          <a:stretch>
            <a:fillRect/>
          </a:stretch>
        </xdr:blipFill>
        <xdr:spPr>
          <a:xfrm rot="5400000">
            <a:off x="10622074" y="1371806"/>
            <a:ext cx="221392" cy="32766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1647823</xdr:colOff>
      <xdr:row>1</xdr:row>
      <xdr:rowOff>15240</xdr:rowOff>
    </xdr:from>
    <xdr:to>
      <xdr:col>10</xdr:col>
      <xdr:colOff>228600</xdr:colOff>
      <xdr:row>1</xdr:row>
      <xdr:rowOff>624840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Año-Mes 1">
              <a:extLst>
                <a:ext uri="{FF2B5EF4-FFF2-40B4-BE49-F238E27FC236}">
                  <a16:creationId xmlns:a16="http://schemas.microsoft.com/office/drawing/2014/main" id="{C80DC166-C543-462E-906F-3664E33D9AC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-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6283" y="320040"/>
              <a:ext cx="8166737" cy="609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706755</xdr:colOff>
      <xdr:row>1</xdr:row>
      <xdr:rowOff>15241</xdr:rowOff>
    </xdr:from>
    <xdr:to>
      <xdr:col>4</xdr:col>
      <xdr:colOff>1653540</xdr:colOff>
      <xdr:row>2</xdr:row>
      <xdr:rowOff>205740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Año">
              <a:extLst>
                <a:ext uri="{FF2B5EF4-FFF2-40B4-BE49-F238E27FC236}">
                  <a16:creationId xmlns:a16="http://schemas.microsoft.com/office/drawing/2014/main" id="{36298D2D-E0A8-404B-8DFC-D05425EB19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49980" y="327661"/>
              <a:ext cx="944880" cy="990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oneCellAnchor>
    <xdr:from>
      <xdr:col>4</xdr:col>
      <xdr:colOff>1721829</xdr:colOff>
      <xdr:row>1</xdr:row>
      <xdr:rowOff>364296</xdr:rowOff>
    </xdr:from>
    <xdr:ext cx="8043288" cy="287800"/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97090D20-553B-40A0-A117-4FC8EC62BA6D}"/>
            </a:ext>
          </a:extLst>
        </xdr:cNvPr>
        <xdr:cNvSpPr txBox="1"/>
      </xdr:nvSpPr>
      <xdr:spPr>
        <a:xfrm>
          <a:off x="4565525" y="667992"/>
          <a:ext cx="8043288" cy="287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ES" sz="1100" b="0" i="1">
              <a:solidFill>
                <a:sysClr val="windowText" lastClr="000000"/>
              </a:solidFill>
            </a:rPr>
            <a:t>Es posible seleccionar</a:t>
          </a:r>
          <a:r>
            <a:rPr lang="es-ES" sz="1100" b="0" i="1" baseline="0">
              <a:solidFill>
                <a:sysClr val="windowText" lastClr="000000"/>
              </a:solidFill>
            </a:rPr>
            <a:t> (o deseleccionar)</a:t>
          </a:r>
          <a:r>
            <a:rPr lang="es-ES" sz="1100" b="0" i="1">
              <a:solidFill>
                <a:sysClr val="windowText" lastClr="000000"/>
              </a:solidFill>
            </a:rPr>
            <a:t> períodos discontinuos presionando la tecla CTRL al mismo tiempo</a:t>
          </a:r>
          <a:r>
            <a:rPr lang="es-ES" sz="1100" b="0" i="1" baseline="0">
              <a:solidFill>
                <a:sysClr val="windowText" lastClr="000000"/>
              </a:solidFill>
            </a:rPr>
            <a:t> que hacemos clic en los meses</a:t>
          </a:r>
          <a:endParaRPr lang="es-ES" sz="1100" b="0" i="1">
            <a:solidFill>
              <a:sysClr val="windowText" lastClr="0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72816</xdr:colOff>
      <xdr:row>3</xdr:row>
      <xdr:rowOff>134154</xdr:rowOff>
    </xdr:from>
    <xdr:to>
      <xdr:col>3</xdr:col>
      <xdr:colOff>634312</xdr:colOff>
      <xdr:row>5</xdr:row>
      <xdr:rowOff>159708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C9619DB9-39B1-482A-9AB2-551D534FE427}"/>
            </a:ext>
          </a:extLst>
        </xdr:cNvPr>
        <xdr:cNvGrpSpPr/>
      </xdr:nvGrpSpPr>
      <xdr:grpSpPr>
        <a:xfrm>
          <a:off x="2023536" y="1467654"/>
          <a:ext cx="652936" cy="406554"/>
          <a:chOff x="17417" y="1739357"/>
          <a:chExt cx="656598" cy="421411"/>
        </a:xfrm>
      </xdr:grpSpPr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66245233-91A8-456E-A77F-BF6E33D159EF}"/>
              </a:ext>
            </a:extLst>
          </xdr:cNvPr>
          <xdr:cNvGrpSpPr/>
        </xdr:nvGrpSpPr>
        <xdr:grpSpPr>
          <a:xfrm>
            <a:off x="239485" y="1739357"/>
            <a:ext cx="184151" cy="219066"/>
            <a:chOff x="7724438" y="1850148"/>
            <a:chExt cx="285750" cy="191199"/>
          </a:xfrm>
          <a:solidFill>
            <a:srgbClr val="7030A0"/>
          </a:solidFill>
        </xdr:grpSpPr>
        <xdr:pic macro="[0]!expandirTabla">
          <xdr:nvPicPr>
            <xdr:cNvPr id="14" name="Gráfico 13" descr="Icono de menú de hamburguesa con relleno sólido">
              <a:extLst>
                <a:ext uri="{FF2B5EF4-FFF2-40B4-BE49-F238E27FC236}">
                  <a16:creationId xmlns:a16="http://schemas.microsoft.com/office/drawing/2014/main" id="{6F42CD95-155C-4BD4-9B2E-11AF05DFC64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2"/>
                </a:ext>
              </a:extLst>
            </a:blip>
            <a:stretch>
              <a:fillRect/>
            </a:stretch>
          </xdr:blipFill>
          <xdr:spPr>
            <a:xfrm>
              <a:off x="7724438" y="1850148"/>
              <a:ext cx="285750" cy="108354"/>
            </a:xfrm>
            <a:prstGeom prst="rect">
              <a:avLst/>
            </a:prstGeom>
          </xdr:spPr>
        </xdr:pic>
        <xdr:pic macro="[0]!expandirTabla">
          <xdr:nvPicPr>
            <xdr:cNvPr id="15" name="Gráfico 14" descr="Icono de menú de hamburguesa con relleno sólido">
              <a:extLst>
                <a:ext uri="{FF2B5EF4-FFF2-40B4-BE49-F238E27FC236}">
                  <a16:creationId xmlns:a16="http://schemas.microsoft.com/office/drawing/2014/main" id="{A74AB669-EC22-4222-B28B-6F05154F97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2"/>
                </a:ext>
              </a:extLst>
            </a:blip>
            <a:stretch>
              <a:fillRect/>
            </a:stretch>
          </xdr:blipFill>
          <xdr:spPr>
            <a:xfrm>
              <a:off x="7724438" y="1932993"/>
              <a:ext cx="285750" cy="108354"/>
            </a:xfrm>
            <a:prstGeom prst="rect">
              <a:avLst/>
            </a:prstGeom>
          </xdr:spPr>
        </xdr:pic>
      </xdr:grpSp>
      <xdr:sp macro="[0]!expandirTabla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A997BD77-B42A-4676-AF4F-1ED2BFA8BF9B}"/>
              </a:ext>
            </a:extLst>
          </xdr:cNvPr>
          <xdr:cNvSpPr txBox="1"/>
        </xdr:nvSpPr>
        <xdr:spPr>
          <a:xfrm>
            <a:off x="17417" y="1902823"/>
            <a:ext cx="656598" cy="2579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Expandir</a:t>
            </a:r>
          </a:p>
        </xdr:txBody>
      </xdr:sp>
    </xdr:grpSp>
    <xdr:clientData/>
  </xdr:twoCellAnchor>
  <xdr:twoCellAnchor editAs="absolute">
    <xdr:from>
      <xdr:col>3</xdr:col>
      <xdr:colOff>659178</xdr:colOff>
      <xdr:row>4</xdr:row>
      <xdr:rowOff>2073</xdr:rowOff>
    </xdr:from>
    <xdr:to>
      <xdr:col>3</xdr:col>
      <xdr:colOff>1312947</xdr:colOff>
      <xdr:row>5</xdr:row>
      <xdr:rowOff>142292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F204B051-D733-4FF9-8019-FD20CA3062EF}"/>
            </a:ext>
          </a:extLst>
        </xdr:cNvPr>
        <xdr:cNvGrpSpPr/>
      </xdr:nvGrpSpPr>
      <xdr:grpSpPr>
        <a:xfrm>
          <a:off x="2701338" y="1526073"/>
          <a:ext cx="653769" cy="330719"/>
          <a:chOff x="809897" y="1818727"/>
          <a:chExt cx="640701" cy="339719"/>
        </a:xfrm>
      </xdr:grpSpPr>
      <xdr:pic macro="[0]!contraerTabla">
        <xdr:nvPicPr>
          <xdr:cNvPr id="13" name="Gráfico 12" descr="Icono de menú de hamburguesa con relleno sólido">
            <a:extLst>
              <a:ext uri="{FF2B5EF4-FFF2-40B4-BE49-F238E27FC236}">
                <a16:creationId xmlns:a16="http://schemas.microsoft.com/office/drawing/2014/main" id="{46D08BA8-C0D1-4F33-BA18-953B73729D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1030705" y="1818727"/>
            <a:ext cx="221450" cy="146813"/>
          </a:xfrm>
          <a:prstGeom prst="rect">
            <a:avLst/>
          </a:prstGeom>
        </xdr:spPr>
      </xdr:pic>
      <xdr:sp macro="[0]!contraerTabla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A38CEF41-9E0C-4AB7-BD7C-15BC9F3BE027}"/>
              </a:ext>
            </a:extLst>
          </xdr:cNvPr>
          <xdr:cNvSpPr txBox="1"/>
        </xdr:nvSpPr>
        <xdr:spPr>
          <a:xfrm>
            <a:off x="809897" y="1902823"/>
            <a:ext cx="640701" cy="2556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Contraer</a:t>
            </a:r>
          </a:p>
        </xdr:txBody>
      </xdr:sp>
    </xdr:grpSp>
    <xdr:clientData/>
  </xdr:twoCellAnchor>
  <xdr:twoCellAnchor editAs="absolute">
    <xdr:from>
      <xdr:col>5</xdr:col>
      <xdr:colOff>88008</xdr:colOff>
      <xdr:row>3</xdr:row>
      <xdr:rowOff>107388</xdr:rowOff>
    </xdr:from>
    <xdr:to>
      <xdr:col>6</xdr:col>
      <xdr:colOff>248240</xdr:colOff>
      <xdr:row>5</xdr:row>
      <xdr:rowOff>135681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D621FACE-9D87-45A0-882C-05FF9DA9AEFC}"/>
            </a:ext>
          </a:extLst>
        </xdr:cNvPr>
        <xdr:cNvGrpSpPr/>
      </xdr:nvGrpSpPr>
      <xdr:grpSpPr>
        <a:xfrm>
          <a:off x="4599048" y="1440888"/>
          <a:ext cx="868892" cy="409293"/>
          <a:chOff x="2573386" y="1737360"/>
          <a:chExt cx="921335" cy="422164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1E61972D-E7AA-4838-A00A-B41567EB31DA}"/>
              </a:ext>
            </a:extLst>
          </xdr:cNvPr>
          <xdr:cNvGrpSpPr/>
        </xdr:nvGrpSpPr>
        <xdr:grpSpPr>
          <a:xfrm>
            <a:off x="2845304" y="1737360"/>
            <a:ext cx="291787" cy="248195"/>
            <a:chOff x="6894789" y="1556434"/>
            <a:chExt cx="233179" cy="198343"/>
          </a:xfrm>
        </xdr:grpSpPr>
        <xdr:pic macro="[0]!QuitarFiltros">
          <xdr:nvPicPr>
            <xdr:cNvPr id="7" name="Gráfico 6" descr="Cerrar con relleno sólido">
              <a:extLst>
                <a:ext uri="{FF2B5EF4-FFF2-40B4-BE49-F238E27FC236}">
                  <a16:creationId xmlns:a16="http://schemas.microsoft.com/office/drawing/2014/main" id="{0487C47E-7C0C-4DE6-BDE0-B1112C11921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5"/>
                </a:ext>
              </a:extLst>
            </a:blip>
            <a:stretch>
              <a:fillRect/>
            </a:stretch>
          </xdr:blipFill>
          <xdr:spPr>
            <a:xfrm>
              <a:off x="7014756" y="1624150"/>
              <a:ext cx="113212" cy="113212"/>
            </a:xfrm>
            <a:prstGeom prst="rect">
              <a:avLst/>
            </a:prstGeom>
          </xdr:spPr>
        </xdr:pic>
        <xdr:pic macro="[0]!QuitarFiltros">
          <xdr:nvPicPr>
            <xdr:cNvPr id="9" name="Gráfico 8" descr="Filtro con relleno sólido">
              <a:extLst>
                <a:ext uri="{FF2B5EF4-FFF2-40B4-BE49-F238E27FC236}">
                  <a16:creationId xmlns:a16="http://schemas.microsoft.com/office/drawing/2014/main" id="{2267BFFA-774B-4535-8005-1736E47EAD5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7"/>
                </a:ext>
              </a:extLst>
            </a:blip>
            <a:stretch>
              <a:fillRect/>
            </a:stretch>
          </xdr:blipFill>
          <xdr:spPr>
            <a:xfrm>
              <a:off x="6894789" y="1556434"/>
              <a:ext cx="198343" cy="198343"/>
            </a:xfrm>
            <a:prstGeom prst="rect">
              <a:avLst/>
            </a:prstGeom>
          </xdr:spPr>
        </xdr:pic>
      </xdr:grpSp>
      <xdr:sp macro="[0]!QuitarFiltros" textlink="">
        <xdr:nvSpPr>
          <xdr:cNvPr id="20" name="CuadroTexto 19">
            <a:extLst>
              <a:ext uri="{FF2B5EF4-FFF2-40B4-BE49-F238E27FC236}">
                <a16:creationId xmlns:a16="http://schemas.microsoft.com/office/drawing/2014/main" id="{AA955114-7146-4AC1-92A9-4F52CAE95211}"/>
              </a:ext>
            </a:extLst>
          </xdr:cNvPr>
          <xdr:cNvSpPr txBox="1"/>
        </xdr:nvSpPr>
        <xdr:spPr>
          <a:xfrm>
            <a:off x="2573386" y="1902848"/>
            <a:ext cx="921335" cy="2566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Quitar filtros</a:t>
            </a:r>
          </a:p>
        </xdr:txBody>
      </xdr:sp>
    </xdr:grpSp>
    <xdr:clientData/>
  </xdr:twoCellAnchor>
  <xdr:oneCellAnchor>
    <xdr:from>
      <xdr:col>3</xdr:col>
      <xdr:colOff>48062</xdr:colOff>
      <xdr:row>11</xdr:row>
      <xdr:rowOff>38100</xdr:rowOff>
    </xdr:from>
    <xdr:ext cx="1676426" cy="108439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C10A95AA-EB43-40E9-AE7D-F00583BF299B}"/>
            </a:ext>
          </a:extLst>
        </xdr:cNvPr>
        <xdr:cNvSpPr txBox="1"/>
      </xdr:nvSpPr>
      <xdr:spPr>
        <a:xfrm>
          <a:off x="2039653" y="2263486"/>
          <a:ext cx="1676426" cy="1084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es-ES" sz="900" b="0">
              <a:solidFill>
                <a:schemeClr val="tx1"/>
              </a:solidFill>
            </a:rPr>
            <a:t>Ahorro acumulado.....................</a:t>
          </a:r>
        </a:p>
      </xdr:txBody>
    </xdr:sp>
    <xdr:clientData/>
  </xdr:oneCellAnchor>
  <xdr:oneCellAnchor>
    <xdr:from>
      <xdr:col>3</xdr:col>
      <xdr:colOff>55392</xdr:colOff>
      <xdr:row>8</xdr:row>
      <xdr:rowOff>15825</xdr:rowOff>
    </xdr:from>
    <xdr:ext cx="1676426" cy="152693"/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BA117017-AD9E-40C2-82C9-3F07FCD734FC}"/>
            </a:ext>
          </a:extLst>
        </xdr:cNvPr>
        <xdr:cNvSpPr txBox="1"/>
      </xdr:nvSpPr>
      <xdr:spPr>
        <a:xfrm>
          <a:off x="2046983" y="2081018"/>
          <a:ext cx="1676426" cy="152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es-ES" sz="900" b="0">
              <a:solidFill>
                <a:schemeClr val="tx1"/>
              </a:solidFill>
            </a:rPr>
            <a:t>Ahorro mensual.........................</a:t>
          </a:r>
        </a:p>
      </xdr:txBody>
    </xdr:sp>
    <xdr:clientData/>
  </xdr:oneCellAnchor>
  <xdr:oneCellAnchor>
    <xdr:from>
      <xdr:col>3</xdr:col>
      <xdr:colOff>774700</xdr:colOff>
      <xdr:row>1</xdr:row>
      <xdr:rowOff>366341</xdr:rowOff>
    </xdr:from>
    <xdr:ext cx="10312400" cy="287800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E8C467D-D9BA-4934-A22F-11ED69A04875}"/>
            </a:ext>
          </a:extLst>
        </xdr:cNvPr>
        <xdr:cNvSpPr txBox="1"/>
      </xdr:nvSpPr>
      <xdr:spPr>
        <a:xfrm>
          <a:off x="2816860" y="671141"/>
          <a:ext cx="10312400" cy="287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ES" sz="1100" b="0" i="1">
              <a:solidFill>
                <a:schemeClr val="bg1"/>
              </a:solidFill>
            </a:rPr>
            <a:t>Es posible seleccionar</a:t>
          </a:r>
          <a:r>
            <a:rPr lang="es-ES" sz="1100" b="0" i="1" baseline="0">
              <a:solidFill>
                <a:schemeClr val="bg1"/>
              </a:solidFill>
            </a:rPr>
            <a:t> (o deseleccionar)</a:t>
          </a:r>
          <a:r>
            <a:rPr lang="es-ES" sz="1100" b="0" i="1">
              <a:solidFill>
                <a:schemeClr val="bg1"/>
              </a:solidFill>
            </a:rPr>
            <a:t> períodos discontinuos presionando la tecla CTRL al mismo tiempo</a:t>
          </a:r>
          <a:r>
            <a:rPr lang="es-ES" sz="1100" b="0" i="1" baseline="0">
              <a:solidFill>
                <a:schemeClr val="bg1"/>
              </a:solidFill>
            </a:rPr>
            <a:t> que hacemos clic en los meses</a:t>
          </a:r>
          <a:endParaRPr lang="es-ES" sz="1100" b="0" i="1">
            <a:solidFill>
              <a:schemeClr val="bg1"/>
            </a:solidFill>
          </a:endParaRPr>
        </a:p>
      </xdr:txBody>
    </xdr:sp>
    <xdr:clientData/>
  </xdr:oneCellAnchor>
  <xdr:twoCellAnchor editAs="absolute">
    <xdr:from>
      <xdr:col>1</xdr:col>
      <xdr:colOff>168519</xdr:colOff>
      <xdr:row>1</xdr:row>
      <xdr:rowOff>95837</xdr:rowOff>
    </xdr:from>
    <xdr:to>
      <xdr:col>1</xdr:col>
      <xdr:colOff>1465385</xdr:colOff>
      <xdr:row>2</xdr:row>
      <xdr:rowOff>131593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DD23A8D-F3B7-4AFD-912E-D2EE23EC8F24}"/>
            </a:ext>
          </a:extLst>
        </xdr:cNvPr>
        <xdr:cNvGrpSpPr/>
      </xdr:nvGrpSpPr>
      <xdr:grpSpPr>
        <a:xfrm>
          <a:off x="214239" y="400637"/>
          <a:ext cx="1296866" cy="835856"/>
          <a:chOff x="131884" y="300404"/>
          <a:chExt cx="1491822" cy="1047750"/>
        </a:xfrm>
        <a:solidFill>
          <a:srgbClr val="B381D9"/>
        </a:solidFill>
      </xdr:grpSpPr>
      <xdr:pic>
        <xdr:nvPicPr>
          <xdr:cNvPr id="28" name="Gráfico 27" descr="Dinero con relleno sólido">
            <a:extLst>
              <a:ext uri="{FF2B5EF4-FFF2-40B4-BE49-F238E27FC236}">
                <a16:creationId xmlns:a16="http://schemas.microsoft.com/office/drawing/2014/main" id="{48AA7B1B-BED3-4F92-BF56-B8DA3BDF83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9"/>
              </a:ext>
            </a:extLst>
          </a:blip>
          <a:stretch>
            <a:fillRect/>
          </a:stretch>
        </xdr:blipFill>
        <xdr:spPr>
          <a:xfrm rot="20842602">
            <a:off x="783981" y="505558"/>
            <a:ext cx="839725" cy="842596"/>
          </a:xfrm>
          <a:prstGeom prst="rect">
            <a:avLst/>
          </a:prstGeom>
        </xdr:spPr>
      </xdr:pic>
      <xdr:pic>
        <xdr:nvPicPr>
          <xdr:cNvPr id="8" name="Gráfico 7" descr="Dinero con relleno sólido">
            <a:extLst>
              <a:ext uri="{FF2B5EF4-FFF2-40B4-BE49-F238E27FC236}">
                <a16:creationId xmlns:a16="http://schemas.microsoft.com/office/drawing/2014/main" id="{677D457E-7F54-4E4C-91E9-49E88BA517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9"/>
              </a:ext>
            </a:extLst>
          </a:blip>
          <a:stretch>
            <a:fillRect/>
          </a:stretch>
        </xdr:blipFill>
        <xdr:spPr>
          <a:xfrm>
            <a:off x="131884" y="300404"/>
            <a:ext cx="839725" cy="84259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137013</xdr:colOff>
      <xdr:row>16</xdr:row>
      <xdr:rowOff>113715</xdr:rowOff>
    </xdr:from>
    <xdr:to>
      <xdr:col>1</xdr:col>
      <xdr:colOff>1428164</xdr:colOff>
      <xdr:row>23</xdr:row>
      <xdr:rowOff>2502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A54DEB5B-6522-417C-9D97-B35D720C73D5}"/>
            </a:ext>
          </a:extLst>
        </xdr:cNvPr>
        <xdr:cNvGrpSpPr/>
      </xdr:nvGrpSpPr>
      <xdr:grpSpPr>
        <a:xfrm>
          <a:off x="182733" y="2895015"/>
          <a:ext cx="1291151" cy="1115607"/>
          <a:chOff x="131884" y="300404"/>
          <a:chExt cx="1491822" cy="1047750"/>
        </a:xfrm>
        <a:solidFill>
          <a:srgbClr val="B381D9"/>
        </a:solidFill>
      </xdr:grpSpPr>
      <xdr:pic>
        <xdr:nvPicPr>
          <xdr:cNvPr id="31" name="Gráfico 30" descr="Dinero con relleno sólido">
            <a:extLst>
              <a:ext uri="{FF2B5EF4-FFF2-40B4-BE49-F238E27FC236}">
                <a16:creationId xmlns:a16="http://schemas.microsoft.com/office/drawing/2014/main" id="{6ADF0C43-0481-4D75-82DF-09ABB52CE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9"/>
              </a:ext>
            </a:extLst>
          </a:blip>
          <a:stretch>
            <a:fillRect/>
          </a:stretch>
        </xdr:blipFill>
        <xdr:spPr>
          <a:xfrm rot="20842602">
            <a:off x="783981" y="505558"/>
            <a:ext cx="839725" cy="842596"/>
          </a:xfrm>
          <a:prstGeom prst="rect">
            <a:avLst/>
          </a:prstGeom>
        </xdr:spPr>
      </xdr:pic>
      <xdr:pic>
        <xdr:nvPicPr>
          <xdr:cNvPr id="32" name="Gráfico 31" descr="Dinero con relleno sólido">
            <a:extLst>
              <a:ext uri="{FF2B5EF4-FFF2-40B4-BE49-F238E27FC236}">
                <a16:creationId xmlns:a16="http://schemas.microsoft.com/office/drawing/2014/main" id="{1BFD5C4C-4CAB-46B8-8346-7F9F66DA30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9"/>
              </a:ext>
            </a:extLst>
          </a:blip>
          <a:stretch>
            <a:fillRect/>
          </a:stretch>
        </xdr:blipFill>
        <xdr:spPr>
          <a:xfrm>
            <a:off x="131884" y="300404"/>
            <a:ext cx="839725" cy="84259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344366</xdr:colOff>
      <xdr:row>4</xdr:row>
      <xdr:rowOff>117231</xdr:rowOff>
    </xdr:from>
    <xdr:to>
      <xdr:col>1</xdr:col>
      <xdr:colOff>1258766</xdr:colOff>
      <xdr:row>15</xdr:row>
      <xdr:rowOff>17292</xdr:rowOff>
    </xdr:to>
    <xdr:pic>
      <xdr:nvPicPr>
        <xdr:cNvPr id="34" name="Gráfico 33" descr="Monedas con relleno sólido">
          <a:extLst>
            <a:ext uri="{FF2B5EF4-FFF2-40B4-BE49-F238E27FC236}">
              <a16:creationId xmlns:a16="http://schemas.microsoft.com/office/drawing/2014/main" id="{A2DF4ABD-9450-4243-8162-4E088A516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2"/>
            </a:ext>
          </a:extLst>
        </a:blip>
        <a:stretch>
          <a:fillRect/>
        </a:stretch>
      </xdr:blipFill>
      <xdr:spPr>
        <a:xfrm>
          <a:off x="395654" y="1641231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363123</xdr:colOff>
      <xdr:row>25</xdr:row>
      <xdr:rowOff>94459</xdr:rowOff>
    </xdr:from>
    <xdr:to>
      <xdr:col>1</xdr:col>
      <xdr:colOff>1273713</xdr:colOff>
      <xdr:row>32</xdr:row>
      <xdr:rowOff>120100</xdr:rowOff>
    </xdr:to>
    <xdr:pic>
      <xdr:nvPicPr>
        <xdr:cNvPr id="35" name="Gráfico 34" descr="Monedas con relleno sólido">
          <a:extLst>
            <a:ext uri="{FF2B5EF4-FFF2-40B4-BE49-F238E27FC236}">
              <a16:creationId xmlns:a16="http://schemas.microsoft.com/office/drawing/2014/main" id="{AEDBD186-33CB-4E1E-BD51-718C0DB89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2"/>
            </a:ext>
          </a:extLst>
        </a:blip>
        <a:stretch>
          <a:fillRect/>
        </a:stretch>
      </xdr:blipFill>
      <xdr:spPr>
        <a:xfrm>
          <a:off x="402981" y="3934558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153865</xdr:colOff>
      <xdr:row>36</xdr:row>
      <xdr:rowOff>119061</xdr:rowOff>
    </xdr:from>
    <xdr:to>
      <xdr:col>1</xdr:col>
      <xdr:colOff>1450731</xdr:colOff>
      <xdr:row>43</xdr:row>
      <xdr:rowOff>64534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A70736CA-50D0-40C9-B39A-0C502C1B5063}"/>
            </a:ext>
          </a:extLst>
        </xdr:cNvPr>
        <xdr:cNvGrpSpPr/>
      </xdr:nvGrpSpPr>
      <xdr:grpSpPr>
        <a:xfrm>
          <a:off x="199585" y="6405561"/>
          <a:ext cx="1296866" cy="1233253"/>
          <a:chOff x="131884" y="300404"/>
          <a:chExt cx="1491822" cy="1047750"/>
        </a:xfrm>
        <a:solidFill>
          <a:srgbClr val="B381D9"/>
        </a:solidFill>
      </xdr:grpSpPr>
      <xdr:pic>
        <xdr:nvPicPr>
          <xdr:cNvPr id="37" name="Gráfico 36" descr="Dinero con relleno sólido">
            <a:extLst>
              <a:ext uri="{FF2B5EF4-FFF2-40B4-BE49-F238E27FC236}">
                <a16:creationId xmlns:a16="http://schemas.microsoft.com/office/drawing/2014/main" id="{612B8666-7B43-4CFB-905E-61244710CB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9"/>
              </a:ext>
            </a:extLst>
          </a:blip>
          <a:stretch>
            <a:fillRect/>
          </a:stretch>
        </xdr:blipFill>
        <xdr:spPr>
          <a:xfrm rot="20842602">
            <a:off x="783981" y="505558"/>
            <a:ext cx="839725" cy="842596"/>
          </a:xfrm>
          <a:prstGeom prst="rect">
            <a:avLst/>
          </a:prstGeom>
        </xdr:spPr>
      </xdr:pic>
      <xdr:pic>
        <xdr:nvPicPr>
          <xdr:cNvPr id="38" name="Gráfico 37" descr="Dinero con relleno sólido">
            <a:extLst>
              <a:ext uri="{FF2B5EF4-FFF2-40B4-BE49-F238E27FC236}">
                <a16:creationId xmlns:a16="http://schemas.microsoft.com/office/drawing/2014/main" id="{D889A31A-4EB4-4653-A25A-F92925409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9"/>
              </a:ext>
            </a:extLst>
          </a:blip>
          <a:stretch>
            <a:fillRect/>
          </a:stretch>
        </xdr:blipFill>
        <xdr:spPr>
          <a:xfrm>
            <a:off x="131884" y="300404"/>
            <a:ext cx="839725" cy="84259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359020</xdr:colOff>
      <xdr:row>44</xdr:row>
      <xdr:rowOff>156245</xdr:rowOff>
    </xdr:from>
    <xdr:to>
      <xdr:col>1</xdr:col>
      <xdr:colOff>1277230</xdr:colOff>
      <xdr:row>49</xdr:row>
      <xdr:rowOff>125323</xdr:rowOff>
    </xdr:to>
    <xdr:pic>
      <xdr:nvPicPr>
        <xdr:cNvPr id="39" name="Gráfico 38" descr="Monedas con relleno sólido">
          <a:extLst>
            <a:ext uri="{FF2B5EF4-FFF2-40B4-BE49-F238E27FC236}">
              <a16:creationId xmlns:a16="http://schemas.microsoft.com/office/drawing/2014/main" id="{EB2FE5FE-350F-4659-88CB-7895482B0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2"/>
            </a:ext>
          </a:extLst>
        </a:blip>
        <a:stretch>
          <a:fillRect/>
        </a:stretch>
      </xdr:blipFill>
      <xdr:spPr>
        <a:xfrm>
          <a:off x="410308" y="6323133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250727</xdr:colOff>
      <xdr:row>51</xdr:row>
      <xdr:rowOff>157124</xdr:rowOff>
    </xdr:from>
    <xdr:to>
      <xdr:col>1</xdr:col>
      <xdr:colOff>1541878</xdr:colOff>
      <xdr:row>56</xdr:row>
      <xdr:rowOff>44671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01CE2AF1-FAD7-4C4D-967A-81753C17DFFF}"/>
            </a:ext>
          </a:extLst>
        </xdr:cNvPr>
        <xdr:cNvGrpSpPr/>
      </xdr:nvGrpSpPr>
      <xdr:grpSpPr>
        <a:xfrm>
          <a:off x="296447" y="9255404"/>
          <a:ext cx="1291151" cy="840047"/>
          <a:chOff x="131884" y="300404"/>
          <a:chExt cx="1491822" cy="1047750"/>
        </a:xfrm>
        <a:solidFill>
          <a:srgbClr val="B381D9"/>
        </a:solidFill>
      </xdr:grpSpPr>
      <xdr:pic>
        <xdr:nvPicPr>
          <xdr:cNvPr id="41" name="Gráfico 40" descr="Dinero con relleno sólido">
            <a:extLst>
              <a:ext uri="{FF2B5EF4-FFF2-40B4-BE49-F238E27FC236}">
                <a16:creationId xmlns:a16="http://schemas.microsoft.com/office/drawing/2014/main" id="{8085C0DA-0D8C-45E7-8389-8D75048C49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9"/>
              </a:ext>
            </a:extLst>
          </a:blip>
          <a:stretch>
            <a:fillRect/>
          </a:stretch>
        </xdr:blipFill>
        <xdr:spPr>
          <a:xfrm rot="20842602">
            <a:off x="783981" y="505558"/>
            <a:ext cx="839725" cy="842596"/>
          </a:xfrm>
          <a:prstGeom prst="rect">
            <a:avLst/>
          </a:prstGeom>
        </xdr:spPr>
      </xdr:pic>
      <xdr:pic>
        <xdr:nvPicPr>
          <xdr:cNvPr id="42" name="Gráfico 41" descr="Dinero con relleno sólido">
            <a:extLst>
              <a:ext uri="{FF2B5EF4-FFF2-40B4-BE49-F238E27FC236}">
                <a16:creationId xmlns:a16="http://schemas.microsoft.com/office/drawing/2014/main" id="{615DC4C4-1865-4370-A9DF-D28D426FA3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9"/>
              </a:ext>
            </a:extLst>
          </a:blip>
          <a:stretch>
            <a:fillRect/>
          </a:stretch>
        </xdr:blipFill>
        <xdr:spPr>
          <a:xfrm>
            <a:off x="131884" y="300404"/>
            <a:ext cx="839725" cy="84259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476837</xdr:colOff>
      <xdr:row>57</xdr:row>
      <xdr:rowOff>125910</xdr:rowOff>
    </xdr:from>
    <xdr:to>
      <xdr:col>1</xdr:col>
      <xdr:colOff>1387427</xdr:colOff>
      <xdr:row>62</xdr:row>
      <xdr:rowOff>82038</xdr:rowOff>
    </xdr:to>
    <xdr:pic>
      <xdr:nvPicPr>
        <xdr:cNvPr id="43" name="Gráfico 42" descr="Monedas con relleno sólido">
          <a:extLst>
            <a:ext uri="{FF2B5EF4-FFF2-40B4-BE49-F238E27FC236}">
              <a16:creationId xmlns:a16="http://schemas.microsoft.com/office/drawing/2014/main" id="{1F1EAD69-2FCF-44E7-86D6-99F8BAB40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2"/>
            </a:ext>
          </a:extLst>
        </a:blip>
        <a:stretch>
          <a:fillRect/>
        </a:stretch>
      </xdr:blipFill>
      <xdr:spPr>
        <a:xfrm>
          <a:off x="512885" y="8784979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2089727</xdr:colOff>
      <xdr:row>1</xdr:row>
      <xdr:rowOff>15241</xdr:rowOff>
    </xdr:from>
    <xdr:to>
      <xdr:col>3</xdr:col>
      <xdr:colOff>739140</xdr:colOff>
      <xdr:row>2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 2">
              <a:extLst>
                <a:ext uri="{FF2B5EF4-FFF2-40B4-BE49-F238E27FC236}">
                  <a16:creationId xmlns:a16="http://schemas.microsoft.com/office/drawing/2014/main" id="{06A620CB-ED45-42A0-9ECC-1F1B12C981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4520" y="327661"/>
              <a:ext cx="914400" cy="9372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720436</xdr:colOff>
      <xdr:row>1</xdr:row>
      <xdr:rowOff>6929</xdr:rowOff>
    </xdr:from>
    <xdr:to>
      <xdr:col>16</xdr:col>
      <xdr:colOff>883919</xdr:colOff>
      <xdr:row>1</xdr:row>
      <xdr:rowOff>422564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)">
              <a:extLst>
                <a:ext uri="{FF2B5EF4-FFF2-40B4-BE49-F238E27FC236}">
                  <a16:creationId xmlns:a16="http://schemas.microsoft.com/office/drawing/2014/main" id="{BA31887B-6AC6-C810-9BEA-A5CBEC32E8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63982" y="311729"/>
              <a:ext cx="9462654" cy="4156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1447800</xdr:colOff>
      <xdr:row>3</xdr:row>
      <xdr:rowOff>83820</xdr:rowOff>
    </xdr:from>
    <xdr:to>
      <xdr:col>5</xdr:col>
      <xdr:colOff>7620</xdr:colOff>
      <xdr:row>5</xdr:row>
      <xdr:rowOff>152400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9C5A7D13-0A20-9AB7-961D-CFAE68AF9D33}"/>
            </a:ext>
          </a:extLst>
        </xdr:cNvPr>
        <xdr:cNvGrpSpPr/>
      </xdr:nvGrpSpPr>
      <xdr:grpSpPr>
        <a:xfrm>
          <a:off x="3489960" y="1417320"/>
          <a:ext cx="1028700" cy="449580"/>
          <a:chOff x="3695700" y="1432560"/>
          <a:chExt cx="1028700" cy="449580"/>
        </a:xfrm>
      </xdr:grpSpPr>
      <xdr:pic macro="[0]!actualizarTD">
        <xdr:nvPicPr>
          <xdr:cNvPr id="6" name="Gráfico 5" descr="Repetir con relleno sólido">
            <a:extLst>
              <a:ext uri="{FF2B5EF4-FFF2-40B4-BE49-F238E27FC236}">
                <a16:creationId xmlns:a16="http://schemas.microsoft.com/office/drawing/2014/main" id="{4F1475C1-DCD6-9590-7676-3FC4B73ED9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9"/>
              </a:ext>
            </a:extLst>
          </a:blip>
          <a:stretch>
            <a:fillRect/>
          </a:stretch>
        </xdr:blipFill>
        <xdr:spPr>
          <a:xfrm>
            <a:off x="4061460" y="1432560"/>
            <a:ext cx="274320" cy="274320"/>
          </a:xfrm>
          <a:prstGeom prst="rect">
            <a:avLst/>
          </a:prstGeom>
        </xdr:spPr>
      </xdr:pic>
      <xdr:sp macro="[0]!actualizarTD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8D4431C2-1F2F-4C7F-B223-592594CFC253}"/>
              </a:ext>
            </a:extLst>
          </xdr:cNvPr>
          <xdr:cNvSpPr txBox="1"/>
        </xdr:nvSpPr>
        <xdr:spPr>
          <a:xfrm>
            <a:off x="3695700" y="1623060"/>
            <a:ext cx="1028700" cy="2590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000" b="1">
                <a:solidFill>
                  <a:schemeClr val="accent1">
                    <a:lumMod val="75000"/>
                  </a:schemeClr>
                </a:solidFill>
              </a:rPr>
              <a:t>Actualizar datos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72097</xdr:colOff>
      <xdr:row>3</xdr:row>
      <xdr:rowOff>80888</xdr:rowOff>
    </xdr:from>
    <xdr:to>
      <xdr:col>9</xdr:col>
      <xdr:colOff>170381</xdr:colOff>
      <xdr:row>12</xdr:row>
      <xdr:rowOff>69022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FD91ACA-09B4-44EB-9E52-207B550BA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270566</xdr:colOff>
      <xdr:row>3</xdr:row>
      <xdr:rowOff>84314</xdr:rowOff>
    </xdr:from>
    <xdr:to>
      <xdr:col>15</xdr:col>
      <xdr:colOff>640522</xdr:colOff>
      <xdr:row>21</xdr:row>
      <xdr:rowOff>143565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C9E80EA-FEC5-42FD-9183-8AB67F0BC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30479</xdr:colOff>
      <xdr:row>2</xdr:row>
      <xdr:rowOff>147126</xdr:rowOff>
    </xdr:from>
    <xdr:to>
      <xdr:col>1</xdr:col>
      <xdr:colOff>1831804</xdr:colOff>
      <xdr:row>9</xdr:row>
      <xdr:rowOff>68580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Tipo de movimiento">
              <a:extLst>
                <a:ext uri="{FF2B5EF4-FFF2-40B4-BE49-F238E27FC236}">
                  <a16:creationId xmlns:a16="http://schemas.microsoft.com/office/drawing/2014/main" id="{61079850-2A82-48DD-9122-0C8639F40F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movimien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79" y="1252026"/>
              <a:ext cx="1847045" cy="12473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740011</xdr:colOff>
      <xdr:row>1</xdr:row>
      <xdr:rowOff>14947</xdr:rowOff>
    </xdr:from>
    <xdr:to>
      <xdr:col>15</xdr:col>
      <xdr:colOff>685800</xdr:colOff>
      <xdr:row>1</xdr:row>
      <xdr:rowOff>515137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Fecha">
              <a:extLst>
                <a:ext uri="{FF2B5EF4-FFF2-40B4-BE49-F238E27FC236}">
                  <a16:creationId xmlns:a16="http://schemas.microsoft.com/office/drawing/2014/main" id="{16A702ED-6ADB-4C5F-96AE-53C1A62B48D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27839" y="318643"/>
              <a:ext cx="8880470" cy="50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2043544</xdr:colOff>
      <xdr:row>1</xdr:row>
      <xdr:rowOff>15240</xdr:rowOff>
    </xdr:from>
    <xdr:to>
      <xdr:col>3</xdr:col>
      <xdr:colOff>752094</xdr:colOff>
      <xdr:row>2</xdr:row>
      <xdr:rowOff>222701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ño 1">
              <a:extLst>
                <a:ext uri="{FF2B5EF4-FFF2-40B4-BE49-F238E27FC236}">
                  <a16:creationId xmlns:a16="http://schemas.microsoft.com/office/drawing/2014/main" id="{A0FF0331-B44D-4BA0-8B44-C090A6BC96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5277" y="318936"/>
              <a:ext cx="926549" cy="10100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14</xdr:col>
      <xdr:colOff>530826</xdr:colOff>
      <xdr:row>1</xdr:row>
      <xdr:rowOff>559454</xdr:rowOff>
    </xdr:from>
    <xdr:to>
      <xdr:col>15</xdr:col>
      <xdr:colOff>717846</xdr:colOff>
      <xdr:row>2</xdr:row>
      <xdr:rowOff>211435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954C40DA-7D6D-4F6C-9618-697CFA388F68}"/>
            </a:ext>
          </a:extLst>
        </xdr:cNvPr>
        <xdr:cNvGrpSpPr/>
      </xdr:nvGrpSpPr>
      <xdr:grpSpPr>
        <a:xfrm>
          <a:off x="11206446" y="864254"/>
          <a:ext cx="971880" cy="452081"/>
          <a:chOff x="12512255" y="183751"/>
          <a:chExt cx="1407108" cy="617787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50CE9694-CBA7-4945-9BD2-608D8BF67D43}"/>
              </a:ext>
            </a:extLst>
          </xdr:cNvPr>
          <xdr:cNvGrpSpPr/>
        </xdr:nvGrpSpPr>
        <xdr:grpSpPr>
          <a:xfrm>
            <a:off x="12950536" y="183751"/>
            <a:ext cx="433319" cy="360145"/>
            <a:chOff x="6894789" y="1556434"/>
            <a:chExt cx="233179" cy="198343"/>
          </a:xfrm>
        </xdr:grpSpPr>
        <xdr:pic macro="[0]!QuitarFiltrosDashboard">
          <xdr:nvPicPr>
            <xdr:cNvPr id="12" name="Gráfico 11" descr="Cerrar con relleno sólido">
              <a:extLst>
                <a:ext uri="{FF2B5EF4-FFF2-40B4-BE49-F238E27FC236}">
                  <a16:creationId xmlns:a16="http://schemas.microsoft.com/office/drawing/2014/main" id="{A1FDEB8D-84F8-42D3-BC02-111D27341A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4"/>
                </a:ext>
              </a:extLst>
            </a:blip>
            <a:stretch>
              <a:fillRect/>
            </a:stretch>
          </xdr:blipFill>
          <xdr:spPr>
            <a:xfrm>
              <a:off x="7014756" y="1624150"/>
              <a:ext cx="113212" cy="113212"/>
            </a:xfrm>
            <a:prstGeom prst="rect">
              <a:avLst/>
            </a:prstGeom>
          </xdr:spPr>
        </xdr:pic>
        <xdr:pic macro="[0]!QuitarFiltrosDashboard">
          <xdr:nvPicPr>
            <xdr:cNvPr id="13" name="Gráfico 12" descr="Filtro con relleno sólido">
              <a:extLst>
                <a:ext uri="{FF2B5EF4-FFF2-40B4-BE49-F238E27FC236}">
                  <a16:creationId xmlns:a16="http://schemas.microsoft.com/office/drawing/2014/main" id="{F305531C-0E4B-4CCB-A971-70D15AA5CB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6"/>
                </a:ext>
              </a:extLst>
            </a:blip>
            <a:stretch>
              <a:fillRect/>
            </a:stretch>
          </xdr:blipFill>
          <xdr:spPr>
            <a:xfrm>
              <a:off x="6894789" y="1556434"/>
              <a:ext cx="198343" cy="198343"/>
            </a:xfrm>
            <a:prstGeom prst="rect">
              <a:avLst/>
            </a:prstGeom>
          </xdr:spPr>
        </xdr:pic>
      </xdr:grpSp>
      <xdr:sp macro="[0]!QuitarFiltrosDashboard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A73C7D94-56C8-4C3D-B0D6-73AC158CEB58}"/>
              </a:ext>
            </a:extLst>
          </xdr:cNvPr>
          <xdr:cNvSpPr txBox="1"/>
        </xdr:nvSpPr>
        <xdr:spPr>
          <a:xfrm>
            <a:off x="12512255" y="461888"/>
            <a:ext cx="1407108" cy="3396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s-ES" sz="1000" b="1">
                <a:solidFill>
                  <a:schemeClr val="bg1"/>
                </a:solidFill>
              </a:rPr>
              <a:t>Quitar filtros</a:t>
            </a:r>
          </a:p>
        </xdr:txBody>
      </xdr:sp>
    </xdr:grpSp>
    <xdr:clientData/>
  </xdr:twoCellAnchor>
  <xdr:twoCellAnchor>
    <xdr:from>
      <xdr:col>2</xdr:col>
      <xdr:colOff>74844</xdr:colOff>
      <xdr:row>12</xdr:row>
      <xdr:rowOff>151317</xdr:rowOff>
    </xdr:from>
    <xdr:to>
      <xdr:col>9</xdr:col>
      <xdr:colOff>176695</xdr:colOff>
      <xdr:row>21</xdr:row>
      <xdr:rowOff>139969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F0ADA95-0F25-4751-AA7F-6E607AA18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</xdr:col>
      <xdr:colOff>36286</xdr:colOff>
      <xdr:row>10</xdr:row>
      <xdr:rowOff>115655</xdr:rowOff>
    </xdr:from>
    <xdr:to>
      <xdr:col>1</xdr:col>
      <xdr:colOff>1652075</xdr:colOff>
      <xdr:row>15</xdr:row>
      <xdr:rowOff>9914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F58C49B7-E1ED-4611-BFAC-1D778937F6C8}"/>
            </a:ext>
          </a:extLst>
        </xdr:cNvPr>
        <xdr:cNvGrpSpPr/>
      </xdr:nvGrpSpPr>
      <xdr:grpSpPr>
        <a:xfrm>
          <a:off x="82006" y="2729315"/>
          <a:ext cx="1615789" cy="808659"/>
          <a:chOff x="171980" y="357150"/>
          <a:chExt cx="1615789" cy="846759"/>
        </a:xfrm>
        <a:solidFill>
          <a:srgbClr val="B381D9"/>
        </a:solidFill>
      </xdr:grpSpPr>
      <xdr:pic>
        <xdr:nvPicPr>
          <xdr:cNvPr id="20" name="Gráfico 19" descr="Gráfico exponencial con relleno sólido">
            <a:extLst>
              <a:ext uri="{FF2B5EF4-FFF2-40B4-BE49-F238E27FC236}">
                <a16:creationId xmlns:a16="http://schemas.microsoft.com/office/drawing/2014/main" id="{59AE0830-9F68-40B1-9399-199303D19C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9"/>
              </a:ext>
            </a:extLst>
          </a:blip>
          <a:stretch>
            <a:fillRect/>
          </a:stretch>
        </xdr:blipFill>
        <xdr:spPr>
          <a:xfrm>
            <a:off x="1091712" y="402981"/>
            <a:ext cx="696057" cy="686777"/>
          </a:xfrm>
          <a:prstGeom prst="rect">
            <a:avLst/>
          </a:prstGeom>
        </xdr:spPr>
      </xdr:pic>
      <xdr:pic>
        <xdr:nvPicPr>
          <xdr:cNvPr id="21" name="Gráfico 20" descr="Indicador con relleno sólido">
            <a:extLst>
              <a:ext uri="{FF2B5EF4-FFF2-40B4-BE49-F238E27FC236}">
                <a16:creationId xmlns:a16="http://schemas.microsoft.com/office/drawing/2014/main" id="{A5AD6D91-D959-41C8-8CD0-B193E1C18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1"/>
              </a:ext>
            </a:extLst>
          </a:blip>
          <a:stretch>
            <a:fillRect/>
          </a:stretch>
        </xdr:blipFill>
        <xdr:spPr>
          <a:xfrm>
            <a:off x="171980" y="357150"/>
            <a:ext cx="934386" cy="84675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74093</xdr:colOff>
      <xdr:row>16</xdr:row>
      <xdr:rowOff>117706</xdr:rowOff>
    </xdr:from>
    <xdr:to>
      <xdr:col>1</xdr:col>
      <xdr:colOff>1689882</xdr:colOff>
      <xdr:row>21</xdr:row>
      <xdr:rowOff>19585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58EE881D-9C2D-4324-861A-ECD30EB77B72}"/>
            </a:ext>
          </a:extLst>
        </xdr:cNvPr>
        <xdr:cNvGrpSpPr/>
      </xdr:nvGrpSpPr>
      <xdr:grpSpPr>
        <a:xfrm>
          <a:off x="119813" y="3828646"/>
          <a:ext cx="1615789" cy="816279"/>
          <a:chOff x="171980" y="357150"/>
          <a:chExt cx="1615789" cy="846759"/>
        </a:xfrm>
        <a:solidFill>
          <a:srgbClr val="B381D9"/>
        </a:solidFill>
      </xdr:grpSpPr>
      <xdr:pic>
        <xdr:nvPicPr>
          <xdr:cNvPr id="23" name="Gráfico 22" descr="Gráfico exponencial con relleno sólido">
            <a:extLst>
              <a:ext uri="{FF2B5EF4-FFF2-40B4-BE49-F238E27FC236}">
                <a16:creationId xmlns:a16="http://schemas.microsoft.com/office/drawing/2014/main" id="{7425882F-805D-4AE2-B378-58763B5F2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9"/>
              </a:ext>
            </a:extLst>
          </a:blip>
          <a:stretch>
            <a:fillRect/>
          </a:stretch>
        </xdr:blipFill>
        <xdr:spPr>
          <a:xfrm>
            <a:off x="1091712" y="402981"/>
            <a:ext cx="696057" cy="686777"/>
          </a:xfrm>
          <a:prstGeom prst="rect">
            <a:avLst/>
          </a:prstGeom>
        </xdr:spPr>
      </xdr:pic>
      <xdr:pic>
        <xdr:nvPicPr>
          <xdr:cNvPr id="24" name="Gráfico 23" descr="Indicador con relleno sólido">
            <a:extLst>
              <a:ext uri="{FF2B5EF4-FFF2-40B4-BE49-F238E27FC236}">
                <a16:creationId xmlns:a16="http://schemas.microsoft.com/office/drawing/2014/main" id="{C4580146-BFB0-45BB-AFBD-CC848A4E6A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1"/>
              </a:ext>
            </a:extLst>
          </a:blip>
          <a:stretch>
            <a:fillRect/>
          </a:stretch>
        </xdr:blipFill>
        <xdr:spPr>
          <a:xfrm>
            <a:off x="171980" y="357150"/>
            <a:ext cx="934386" cy="84675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104573</xdr:colOff>
      <xdr:row>23</xdr:row>
      <xdr:rowOff>110379</xdr:rowOff>
    </xdr:from>
    <xdr:to>
      <xdr:col>1</xdr:col>
      <xdr:colOff>1720362</xdr:colOff>
      <xdr:row>28</xdr:row>
      <xdr:rowOff>12258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F3B334-AC9E-4CC6-8C80-9700793B1228}"/>
            </a:ext>
          </a:extLst>
        </xdr:cNvPr>
        <xdr:cNvGrpSpPr/>
      </xdr:nvGrpSpPr>
      <xdr:grpSpPr>
        <a:xfrm>
          <a:off x="150293" y="5101479"/>
          <a:ext cx="1615789" cy="816279"/>
          <a:chOff x="171980" y="357150"/>
          <a:chExt cx="1615789" cy="846759"/>
        </a:xfrm>
        <a:solidFill>
          <a:srgbClr val="B381D9"/>
        </a:solidFill>
      </xdr:grpSpPr>
      <xdr:pic>
        <xdr:nvPicPr>
          <xdr:cNvPr id="26" name="Gráfico 25" descr="Gráfico exponencial con relleno sólido">
            <a:extLst>
              <a:ext uri="{FF2B5EF4-FFF2-40B4-BE49-F238E27FC236}">
                <a16:creationId xmlns:a16="http://schemas.microsoft.com/office/drawing/2014/main" id="{C4210CC3-F196-4587-ACAD-1132A3C516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9"/>
              </a:ext>
            </a:extLst>
          </a:blip>
          <a:stretch>
            <a:fillRect/>
          </a:stretch>
        </xdr:blipFill>
        <xdr:spPr>
          <a:xfrm>
            <a:off x="1091712" y="402981"/>
            <a:ext cx="696057" cy="686777"/>
          </a:xfrm>
          <a:prstGeom prst="rect">
            <a:avLst/>
          </a:prstGeom>
        </xdr:spPr>
      </xdr:pic>
      <xdr:pic>
        <xdr:nvPicPr>
          <xdr:cNvPr id="27" name="Gráfico 26" descr="Indicador con relleno sólido">
            <a:extLst>
              <a:ext uri="{FF2B5EF4-FFF2-40B4-BE49-F238E27FC236}">
                <a16:creationId xmlns:a16="http://schemas.microsoft.com/office/drawing/2014/main" id="{B098BF26-FDDC-4FC0-A246-DFF8D61A7B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1"/>
              </a:ext>
            </a:extLst>
          </a:blip>
          <a:stretch>
            <a:fillRect/>
          </a:stretch>
        </xdr:blipFill>
        <xdr:spPr>
          <a:xfrm>
            <a:off x="171980" y="357150"/>
            <a:ext cx="934386" cy="84675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93215</xdr:colOff>
      <xdr:row>1</xdr:row>
      <xdr:rowOff>48677</xdr:rowOff>
    </xdr:from>
    <xdr:to>
      <xdr:col>1</xdr:col>
      <xdr:colOff>1709004</xdr:colOff>
      <xdr:row>2</xdr:row>
      <xdr:rowOff>110244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6CA20FF6-8383-42D9-B1E6-927DF5E4960F}"/>
            </a:ext>
          </a:extLst>
        </xdr:cNvPr>
        <xdr:cNvGrpSpPr/>
      </xdr:nvGrpSpPr>
      <xdr:grpSpPr>
        <a:xfrm>
          <a:off x="138935" y="353477"/>
          <a:ext cx="1615789" cy="861667"/>
          <a:chOff x="171980" y="357150"/>
          <a:chExt cx="1615789" cy="846759"/>
        </a:xfrm>
      </xdr:grpSpPr>
      <xdr:pic>
        <xdr:nvPicPr>
          <xdr:cNvPr id="29" name="Gráfico 28" descr="Gráfico exponencial con relleno sólido">
            <a:extLst>
              <a:ext uri="{FF2B5EF4-FFF2-40B4-BE49-F238E27FC236}">
                <a16:creationId xmlns:a16="http://schemas.microsoft.com/office/drawing/2014/main" id="{7558CCA3-8D23-45FB-B778-E7152991F9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9"/>
              </a:ext>
            </a:extLst>
          </a:blip>
          <a:stretch>
            <a:fillRect/>
          </a:stretch>
        </xdr:blipFill>
        <xdr:spPr>
          <a:xfrm>
            <a:off x="1091712" y="402981"/>
            <a:ext cx="696057" cy="686777"/>
          </a:xfrm>
          <a:prstGeom prst="rect">
            <a:avLst/>
          </a:prstGeom>
        </xdr:spPr>
      </xdr:pic>
      <xdr:pic>
        <xdr:nvPicPr>
          <xdr:cNvPr id="30" name="Gráfico 29" descr="Indicador con relleno sólido">
            <a:extLst>
              <a:ext uri="{FF2B5EF4-FFF2-40B4-BE49-F238E27FC236}">
                <a16:creationId xmlns:a16="http://schemas.microsoft.com/office/drawing/2014/main" id="{73EB9950-F176-497A-963D-23C51BE704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1"/>
              </a:ext>
            </a:extLst>
          </a:blip>
          <a:stretch>
            <a:fillRect/>
          </a:stretch>
        </xdr:blipFill>
        <xdr:spPr>
          <a:xfrm>
            <a:off x="171980" y="357150"/>
            <a:ext cx="934386" cy="846759"/>
          </a:xfrm>
          <a:prstGeom prst="rect">
            <a:avLst/>
          </a:prstGeom>
        </xdr:spPr>
      </xdr:pic>
    </xdr:grpSp>
    <xdr:clientData/>
  </xdr:twoCellAnchor>
  <xdr:oneCellAnchor>
    <xdr:from>
      <xdr:col>4</xdr:col>
      <xdr:colOff>15240</xdr:colOff>
      <xdr:row>1</xdr:row>
      <xdr:rowOff>516890</xdr:rowOff>
    </xdr:from>
    <xdr:ext cx="5593080" cy="511810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651B0C25-381A-4D49-A062-CB034D52AFCC}"/>
            </a:ext>
          </a:extLst>
        </xdr:cNvPr>
        <xdr:cNvSpPr txBox="1"/>
      </xdr:nvSpPr>
      <xdr:spPr>
        <a:xfrm>
          <a:off x="2842260" y="821690"/>
          <a:ext cx="5593080" cy="5118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1100" b="0" i="1">
              <a:solidFill>
                <a:schemeClr val="bg1"/>
              </a:solidFill>
            </a:rPr>
            <a:t>Es posible seleccionar</a:t>
          </a:r>
          <a:r>
            <a:rPr lang="es-ES" sz="1100" b="0" i="1" baseline="0">
              <a:solidFill>
                <a:schemeClr val="bg1"/>
              </a:solidFill>
            </a:rPr>
            <a:t> (o deseleccionar)</a:t>
          </a:r>
          <a:r>
            <a:rPr lang="es-ES" sz="1100" b="0" i="1">
              <a:solidFill>
                <a:schemeClr val="bg1"/>
              </a:solidFill>
            </a:rPr>
            <a:t> períodos discontinuos presionando la tecla CTRL al mismo tiempo</a:t>
          </a:r>
          <a:r>
            <a:rPr lang="es-ES" sz="1100" b="0" i="1" baseline="0">
              <a:solidFill>
                <a:schemeClr val="bg1"/>
              </a:solidFill>
            </a:rPr>
            <a:t> que hacemos clic en los meses</a:t>
          </a:r>
          <a:endParaRPr lang="es-ES" sz="1100" b="0" i="1">
            <a:solidFill>
              <a:schemeClr val="bg1"/>
            </a:solidFill>
          </a:endParaRPr>
        </a:p>
      </xdr:txBody>
    </xdr:sp>
    <xdr:clientData/>
  </xdr:oneCellAnchor>
  <xdr:twoCellAnchor editAs="absolute">
    <xdr:from>
      <xdr:col>13</xdr:col>
      <xdr:colOff>15240</xdr:colOff>
      <xdr:row>1</xdr:row>
      <xdr:rowOff>563880</xdr:rowOff>
    </xdr:from>
    <xdr:to>
      <xdr:col>14</xdr:col>
      <xdr:colOff>259080</xdr:colOff>
      <xdr:row>2</xdr:row>
      <xdr:rowOff>213360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8F1537A2-4E36-4D8F-A4BF-AE9D67676377}"/>
            </a:ext>
          </a:extLst>
        </xdr:cNvPr>
        <xdr:cNvGrpSpPr/>
      </xdr:nvGrpSpPr>
      <xdr:grpSpPr>
        <a:xfrm>
          <a:off x="9906000" y="868680"/>
          <a:ext cx="1028700" cy="449580"/>
          <a:chOff x="3695700" y="1432560"/>
          <a:chExt cx="1028700" cy="449580"/>
        </a:xfrm>
      </xdr:grpSpPr>
      <xdr:pic macro="[0]!actualizarTD">
        <xdr:nvPicPr>
          <xdr:cNvPr id="14" name="Gráfico 13" descr="Repetir con relleno sólido">
            <a:extLst>
              <a:ext uri="{FF2B5EF4-FFF2-40B4-BE49-F238E27FC236}">
                <a16:creationId xmlns:a16="http://schemas.microsoft.com/office/drawing/2014/main" id="{0B84378F-D0AA-6BAD-9FFD-1051BBD94C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8"/>
              </a:ext>
            </a:extLst>
          </a:blip>
          <a:stretch>
            <a:fillRect/>
          </a:stretch>
        </xdr:blipFill>
        <xdr:spPr>
          <a:xfrm>
            <a:off x="4061460" y="1432560"/>
            <a:ext cx="274320" cy="274320"/>
          </a:xfrm>
          <a:prstGeom prst="rect">
            <a:avLst/>
          </a:prstGeom>
        </xdr:spPr>
      </xdr:pic>
      <xdr:sp macro="[0]!actualizarTD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F5559E44-6C02-FFC7-9E32-388A3EE8525B}"/>
              </a:ext>
            </a:extLst>
          </xdr:cNvPr>
          <xdr:cNvSpPr txBox="1"/>
        </xdr:nvSpPr>
        <xdr:spPr>
          <a:xfrm>
            <a:off x="3695700" y="1623060"/>
            <a:ext cx="1028700" cy="2590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000" b="1">
                <a:solidFill>
                  <a:schemeClr val="bg1"/>
                </a:solidFill>
              </a:rPr>
              <a:t>Actualizar datos</a:t>
            </a:r>
          </a:p>
        </xdr:txBody>
      </xdr:sp>
    </xdr:grp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0.13333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BE05FB5D-E848-4B54-84D3-91D92F3AFDA2}"/>
            </a:ext>
          </a:extLst>
        </cdr:cNvPr>
        <cdr:cNvSpPr/>
      </cdr:nvSpPr>
      <cdr:spPr bwMode="auto">
        <a:xfrm xmlns:a="http://schemas.openxmlformats.org/drawingml/2006/main">
          <a:off x="0" y="0"/>
          <a:ext cx="5554980" cy="2880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60000"/>
            <a:lumOff val="40000"/>
          </a:scheme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ES_tradnl" sz="1200" b="1">
              <a:solidFill>
                <a:schemeClr val="bg1"/>
              </a:solidFill>
            </a:rPr>
            <a:t> Ahorrado (</a:t>
          </a:r>
          <a:r>
            <a:rPr lang="es-ES_tradnl" sz="1200" b="1">
              <a:solidFill>
                <a:schemeClr val="accent4">
                  <a:lumMod val="60000"/>
                  <a:lumOff val="40000"/>
                </a:schemeClr>
              </a:solidFill>
            </a:rPr>
            <a:t>unidades</a:t>
          </a:r>
          <a:r>
            <a:rPr lang="es-ES_tradnl" sz="1200" b="1" baseline="0">
              <a:solidFill>
                <a:schemeClr val="accent4">
                  <a:lumMod val="60000"/>
                  <a:lumOff val="40000"/>
                </a:schemeClr>
              </a:solidFill>
            </a:rPr>
            <a:t> monetarias</a:t>
          </a:r>
          <a:r>
            <a:rPr lang="es-ES_tradnl" sz="1200" b="1">
              <a:solidFill>
                <a:schemeClr val="bg1"/>
              </a:solidFill>
            </a:rPr>
            <a:t>) en cada mes en período seleccionado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0.06534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BCD936BA-7986-44FA-8430-95E92DBEB671}"/>
            </a:ext>
          </a:extLst>
        </cdr:cNvPr>
        <cdr:cNvSpPr/>
      </cdr:nvSpPr>
      <cdr:spPr bwMode="auto">
        <a:xfrm xmlns:a="http://schemas.openxmlformats.org/drawingml/2006/main">
          <a:off x="0" y="0"/>
          <a:ext cx="5234940" cy="2880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60000"/>
            <a:lumOff val="40000"/>
          </a:scheme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/>
          <a:r>
            <a:rPr lang="es-ES_tradnl" sz="1200" b="1">
              <a:solidFill>
                <a:schemeClr val="bg1"/>
              </a:solidFill>
              <a:latin typeface="+mn-lt"/>
              <a:ea typeface="+mn-ea"/>
              <a:cs typeface="+mn-cs"/>
            </a:rPr>
            <a:t> Gastos/ingresos (</a:t>
          </a:r>
          <a:r>
            <a:rPr lang="es-ES_tradnl" sz="1200" b="1">
              <a:solidFill>
                <a:schemeClr val="accent4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promedio</a:t>
          </a:r>
          <a:r>
            <a:rPr lang="es-ES_tradnl" sz="1200" b="1">
              <a:solidFill>
                <a:schemeClr val="bg1"/>
              </a:solidFill>
              <a:latin typeface="+mn-lt"/>
              <a:ea typeface="+mn-ea"/>
              <a:cs typeface="+mn-cs"/>
            </a:rPr>
            <a:t>) en período seleccionado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0.00075</cdr:x>
      <cdr:y>0</cdr:y>
    </cdr:from>
    <cdr:to>
      <cdr:x>1</cdr:x>
      <cdr:y>0.13575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69F3BBBC-F28D-483F-895A-99BD6568D497}"/>
            </a:ext>
          </a:extLst>
        </cdr:cNvPr>
        <cdr:cNvSpPr/>
      </cdr:nvSpPr>
      <cdr:spPr bwMode="auto">
        <a:xfrm xmlns:a="http://schemas.openxmlformats.org/drawingml/2006/main">
          <a:off x="4155" y="0"/>
          <a:ext cx="5554980" cy="2880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60000"/>
            <a:lumOff val="40000"/>
          </a:scheme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/>
          <a:r>
            <a:rPr lang="es-ES_tradnl" sz="1200" b="1">
              <a:solidFill>
                <a:schemeClr val="bg1"/>
              </a:solidFill>
              <a:latin typeface="+mn-lt"/>
              <a:ea typeface="+mn-ea"/>
              <a:cs typeface="+mn-cs"/>
            </a:rPr>
            <a:t> Ahorrado (</a:t>
          </a:r>
          <a:r>
            <a:rPr lang="es-ES_tradnl" sz="1200" b="1">
              <a:solidFill>
                <a:schemeClr val="accent4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unidades monetarias</a:t>
          </a:r>
          <a:r>
            <a:rPr lang="es-ES_tradnl" sz="1200" b="1">
              <a:solidFill>
                <a:schemeClr val="bg1"/>
              </a:solidFill>
              <a:latin typeface="+mn-lt"/>
              <a:ea typeface="+mn-ea"/>
              <a:cs typeface="+mn-cs"/>
            </a:rPr>
            <a:t>)</a:t>
          </a:r>
          <a:r>
            <a:rPr lang="es-ES_tradnl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s-ES_tradnl" sz="1200" b="1">
              <a:solidFill>
                <a:schemeClr val="bg1"/>
              </a:solidFill>
              <a:latin typeface="+mn-lt"/>
              <a:ea typeface="+mn-ea"/>
              <a:cs typeface="+mn-cs"/>
            </a:rPr>
            <a:t>acumulado en período seleccionado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lavia" refreshedDate="45671.516676157407" createdVersion="7" refreshedVersion="6" minRefreshableVersion="3" recordCount="173">
  <cacheSource type="worksheet">
    <worksheetSource name="tbl_diario"/>
  </cacheSource>
  <cacheFields count="10">
    <cacheField name="Fecha" numFmtId="166">
      <sharedItems containsSemiMixedTypes="0" containsNonDate="0" containsDate="1" containsString="0" minDate="2020-11-02T00:00:00" maxDate="2022-12-03T00:00:00" count="61">
        <d v="2020-11-02T00:00:00"/>
        <d v="2020-12-01T00:00:00"/>
        <d v="2020-12-02T00:00:00"/>
        <d v="2020-12-03T00:00:00"/>
        <d v="2020-12-05T00:00:00"/>
        <d v="2020-12-10T00:00:00"/>
        <d v="2021-01-01T00:00:00"/>
        <d v="2021-01-02T00:00:00"/>
        <d v="2021-02-01T00:00:00"/>
        <d v="2021-02-02T00:00:00"/>
        <d v="2021-03-01T00:00:00"/>
        <d v="2021-03-02T00:00:00"/>
        <d v="2021-04-01T00:00:00"/>
        <d v="2021-04-02T00:00:00"/>
        <d v="2021-05-01T00:00:00"/>
        <d v="2021-05-02T00:00:00"/>
        <d v="2021-05-10T00:00:00"/>
        <d v="2021-06-01T00:00:00"/>
        <d v="2021-06-02T00:00:00"/>
        <d v="2021-06-29T00:00:00"/>
        <d v="2021-07-01T00:00:00"/>
        <d v="2021-07-02T00:00:00"/>
        <d v="2021-08-02T00:00:00"/>
        <d v="2021-08-04T00:00:00"/>
        <d v="2021-09-01T00:00:00"/>
        <d v="2021-09-02T00:00:00"/>
        <d v="2021-09-04T00:00:00"/>
        <d v="2021-10-01T00:00:00"/>
        <d v="2021-10-02T00:00:00"/>
        <d v="2021-11-01T00:00:00"/>
        <d v="2021-11-02T00:00:00"/>
        <d v="2021-12-01T00:00:00"/>
        <d v="2021-12-02T00:00:00"/>
        <d v="2021-12-10T00:00:00"/>
        <d v="2022-01-01T00:00:00"/>
        <d v="2022-01-02T00:00:00"/>
        <d v="2022-02-01T00:00:00"/>
        <d v="2022-02-02T00:00:00"/>
        <d v="2022-03-01T00:00:00"/>
        <d v="2022-03-02T00:00:00"/>
        <d v="2022-04-01T00:00:00"/>
        <d v="2022-04-02T00:00:00"/>
        <d v="2022-04-22T00:00:00"/>
        <d v="2022-05-01T00:00:00"/>
        <d v="2022-05-02T00:00:00"/>
        <d v="2022-06-01T00:00:00"/>
        <d v="2022-06-02T00:00:00"/>
        <d v="2022-07-01T00:00:00"/>
        <d v="2022-07-02T00:00:00"/>
        <d v="2022-08-01T00:00:00"/>
        <d v="2022-08-02T00:00:00"/>
        <d v="2022-09-01T00:00:00"/>
        <d v="2022-09-02T00:00:00"/>
        <d v="2022-10-01T00:00:00"/>
        <d v="2022-10-02T00:00:00"/>
        <d v="2022-11-01T00:00:00"/>
        <d v="2022-11-02T00:00:00"/>
        <d v="2022-12-02T00:00:00"/>
        <d v="2022-08-03T00:00:00" u="1"/>
        <d v="2020-11-20T00:00:00" u="1"/>
        <d v="2022-08-05T00:00:00" u="1"/>
      </sharedItems>
      <fieldGroup par="9"/>
    </cacheField>
    <cacheField name="Tipo de movimiento" numFmtId="0">
      <sharedItems containsBlank="1" count="13">
        <s v="00. Saldo inicial"/>
        <s v="02. Pagos esenciales"/>
        <s v="03. Pagos secundarios"/>
        <s v="01. Cobros"/>
        <m u="1"/>
        <s v="03. Gastos reducibles pero importantes" u="1"/>
        <s v="02. Gastos no reducibles" u="1"/>
        <s v="02. Pagos no reducibles" u="1"/>
        <s v="04. Gastos reducibles " u="1"/>
        <s v="04. Pagos reducibles " u="1"/>
        <s v="01. Ingresos" u="1"/>
        <s v="03. Pagos reducibles pero importantes" u="1"/>
        <s v="04. Fondo de contingencia" u="1"/>
      </sharedItems>
    </cacheField>
    <cacheField name="Ingreso o gasto" numFmtId="0">
      <sharedItems containsBlank="1" count="29">
        <s v="Otros "/>
        <s v="Luz"/>
        <s v="Gasolina"/>
        <s v="Mi nómina"/>
        <s v="Comida"/>
        <s v="Gimnasio"/>
        <s v="Spotify"/>
        <s v="Internet"/>
        <s v="Alquiler"/>
        <s v="Regalos"/>
        <s v="Vacaciones "/>
        <s v="Donación a ONG"/>
        <s v="Seguro coche"/>
        <s v="Préstamo coche "/>
        <s v="Clases particulares de repaso"/>
        <s v="Cumpleaños"/>
        <s v="Donación protectora animal"/>
        <s v="Ropa y calzado"/>
        <m u="1"/>
        <s v="Donación a Amal" u="1"/>
        <s v="Otros ingresos" u="1"/>
        <s v="Clases adiestradora" u="1"/>
        <s v="Donación a Worldvision" u="1"/>
        <s v="Agua" u="1"/>
        <s v="Coche nuevo" u="1"/>
        <s v="Fondo de contingencia" u="1"/>
        <s v="Seguro salud" u="1"/>
        <s v="Saldo inicial" u="1"/>
        <s v="Clases socialización perros" u="1"/>
      </sharedItems>
    </cacheField>
    <cacheField name="Importe      ." numFmtId="4">
      <sharedItems containsSemiMixedTypes="0" containsString="0" containsNumber="1" minValue="-800" maxValue="2000"/>
    </cacheField>
    <cacheField name="Observaciones" numFmtId="0">
      <sharedItems containsBlank="1"/>
    </cacheField>
    <cacheField name="Year-Month" numFmtId="0">
      <sharedItems count="13">
        <s v="nov"/>
        <s v="dic"/>
        <s v="ene"/>
        <s v="feb"/>
        <s v="mar"/>
        <s v="abr"/>
        <s v="may"/>
        <s v="jun"/>
        <s v="jul"/>
        <s v="ago"/>
        <s v="sept"/>
        <s v="oct"/>
        <s v="sep" u="1"/>
      </sharedItems>
    </cacheField>
    <cacheField name="Año" numFmtId="0">
      <sharedItems containsSemiMixedTypes="0" containsString="0" containsNumber="1" containsInteger="1" minValue="1900" maxValue="2022" count="4">
        <n v="2020"/>
        <n v="2021"/>
        <n v="2022"/>
        <n v="1900" u="1"/>
      </sharedItems>
    </cacheField>
    <cacheField name="Saldo invertido" numFmtId="0" formula="'Importe      .'*-1" databaseField="0"/>
    <cacheField name="Meses (Fecha)" numFmtId="0" databaseField="0">
      <fieldGroup base="0">
        <rangePr groupBy="months" startDate="2020-11-02T00:00:00" endDate="2022-12-03T00:00:00"/>
        <groupItems count="14">
          <s v="&lt;2/11/2020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3/12/2022"/>
        </groupItems>
      </fieldGroup>
    </cacheField>
    <cacheField name="Años (Fecha)" numFmtId="0" databaseField="0">
      <fieldGroup base="0">
        <rangePr groupBy="years" startDate="2020-11-02T00:00:00" endDate="2022-12-03T00:00:00"/>
        <groupItems count="5">
          <s v="&lt;2/11/2020"/>
          <s v="2020"/>
          <s v="2021"/>
          <s v="2022"/>
          <s v="&gt;3/12/2022"/>
        </groupItems>
      </fieldGroup>
    </cacheField>
  </cacheFields>
  <extLst>
    <ext xmlns:x14="http://schemas.microsoft.com/office/spreadsheetml/2009/9/main" uri="{725AE2AE-9491-48be-B2B4-4EB974FC3084}">
      <x14:pivotCacheDefinition pivotCacheId="187819158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3">
  <r>
    <x v="0"/>
    <x v="0"/>
    <x v="0"/>
    <n v="2000"/>
    <m/>
    <x v="0"/>
    <x v="0"/>
  </r>
  <r>
    <x v="1"/>
    <x v="1"/>
    <x v="1"/>
    <n v="-70"/>
    <m/>
    <x v="1"/>
    <x v="0"/>
  </r>
  <r>
    <x v="2"/>
    <x v="2"/>
    <x v="0"/>
    <n v="-110"/>
    <m/>
    <x v="1"/>
    <x v="0"/>
  </r>
  <r>
    <x v="2"/>
    <x v="1"/>
    <x v="2"/>
    <n v="-105"/>
    <m/>
    <x v="1"/>
    <x v="0"/>
  </r>
  <r>
    <x v="2"/>
    <x v="3"/>
    <x v="3"/>
    <n v="1400"/>
    <m/>
    <x v="1"/>
    <x v="0"/>
  </r>
  <r>
    <x v="2"/>
    <x v="1"/>
    <x v="4"/>
    <n v="-220"/>
    <m/>
    <x v="1"/>
    <x v="0"/>
  </r>
  <r>
    <x v="2"/>
    <x v="2"/>
    <x v="5"/>
    <n v="-40"/>
    <m/>
    <x v="1"/>
    <x v="0"/>
  </r>
  <r>
    <x v="2"/>
    <x v="2"/>
    <x v="6"/>
    <n v="-3"/>
    <m/>
    <x v="1"/>
    <x v="0"/>
  </r>
  <r>
    <x v="2"/>
    <x v="1"/>
    <x v="7"/>
    <n v="-39.97"/>
    <m/>
    <x v="1"/>
    <x v="0"/>
  </r>
  <r>
    <x v="2"/>
    <x v="1"/>
    <x v="8"/>
    <n v="-800"/>
    <s v="Alquiler + fianza"/>
    <x v="1"/>
    <x v="0"/>
  </r>
  <r>
    <x v="3"/>
    <x v="2"/>
    <x v="9"/>
    <n v="-155"/>
    <s v="Regalos de Navidad para la familia "/>
    <x v="1"/>
    <x v="0"/>
  </r>
  <r>
    <x v="4"/>
    <x v="2"/>
    <x v="10"/>
    <n v="-150"/>
    <m/>
    <x v="1"/>
    <x v="0"/>
  </r>
  <r>
    <x v="5"/>
    <x v="2"/>
    <x v="11"/>
    <n v="-100"/>
    <m/>
    <x v="1"/>
    <x v="0"/>
  </r>
  <r>
    <x v="6"/>
    <x v="1"/>
    <x v="1"/>
    <n v="-65"/>
    <m/>
    <x v="2"/>
    <x v="1"/>
  </r>
  <r>
    <x v="7"/>
    <x v="2"/>
    <x v="0"/>
    <n v="-25"/>
    <m/>
    <x v="2"/>
    <x v="1"/>
  </r>
  <r>
    <x v="7"/>
    <x v="1"/>
    <x v="2"/>
    <n v="-160"/>
    <m/>
    <x v="2"/>
    <x v="1"/>
  </r>
  <r>
    <x v="7"/>
    <x v="3"/>
    <x v="3"/>
    <n v="1400"/>
    <m/>
    <x v="2"/>
    <x v="1"/>
  </r>
  <r>
    <x v="7"/>
    <x v="1"/>
    <x v="4"/>
    <n v="-200"/>
    <m/>
    <x v="2"/>
    <x v="1"/>
  </r>
  <r>
    <x v="7"/>
    <x v="1"/>
    <x v="12"/>
    <n v="-250"/>
    <m/>
    <x v="2"/>
    <x v="1"/>
  </r>
  <r>
    <x v="7"/>
    <x v="2"/>
    <x v="6"/>
    <n v="-3"/>
    <m/>
    <x v="2"/>
    <x v="1"/>
  </r>
  <r>
    <x v="7"/>
    <x v="1"/>
    <x v="7"/>
    <n v="-39.97"/>
    <m/>
    <x v="2"/>
    <x v="1"/>
  </r>
  <r>
    <x v="7"/>
    <x v="1"/>
    <x v="8"/>
    <n v="-400"/>
    <m/>
    <x v="2"/>
    <x v="1"/>
  </r>
  <r>
    <x v="8"/>
    <x v="1"/>
    <x v="1"/>
    <n v="-65"/>
    <m/>
    <x v="3"/>
    <x v="1"/>
  </r>
  <r>
    <x v="9"/>
    <x v="1"/>
    <x v="13"/>
    <n v="-200"/>
    <m/>
    <x v="3"/>
    <x v="1"/>
  </r>
  <r>
    <x v="9"/>
    <x v="1"/>
    <x v="2"/>
    <n v="-90"/>
    <m/>
    <x v="3"/>
    <x v="1"/>
  </r>
  <r>
    <x v="9"/>
    <x v="3"/>
    <x v="3"/>
    <n v="1400"/>
    <m/>
    <x v="3"/>
    <x v="1"/>
  </r>
  <r>
    <x v="9"/>
    <x v="1"/>
    <x v="4"/>
    <n v="-190"/>
    <m/>
    <x v="3"/>
    <x v="1"/>
  </r>
  <r>
    <x v="9"/>
    <x v="2"/>
    <x v="5"/>
    <n v="-40"/>
    <m/>
    <x v="3"/>
    <x v="1"/>
  </r>
  <r>
    <x v="9"/>
    <x v="1"/>
    <x v="12"/>
    <n v="-250"/>
    <m/>
    <x v="3"/>
    <x v="1"/>
  </r>
  <r>
    <x v="9"/>
    <x v="2"/>
    <x v="6"/>
    <n v="-3"/>
    <m/>
    <x v="3"/>
    <x v="1"/>
  </r>
  <r>
    <x v="9"/>
    <x v="1"/>
    <x v="7"/>
    <n v="-39.97"/>
    <m/>
    <x v="3"/>
    <x v="1"/>
  </r>
  <r>
    <x v="9"/>
    <x v="1"/>
    <x v="8"/>
    <n v="-400"/>
    <m/>
    <x v="3"/>
    <x v="1"/>
  </r>
  <r>
    <x v="10"/>
    <x v="1"/>
    <x v="1"/>
    <n v="-60"/>
    <m/>
    <x v="4"/>
    <x v="1"/>
  </r>
  <r>
    <x v="11"/>
    <x v="1"/>
    <x v="13"/>
    <n v="-200"/>
    <m/>
    <x v="4"/>
    <x v="1"/>
  </r>
  <r>
    <x v="11"/>
    <x v="1"/>
    <x v="2"/>
    <n v="-40"/>
    <m/>
    <x v="4"/>
    <x v="1"/>
  </r>
  <r>
    <x v="11"/>
    <x v="3"/>
    <x v="3"/>
    <n v="1400"/>
    <m/>
    <x v="4"/>
    <x v="1"/>
  </r>
  <r>
    <x v="11"/>
    <x v="1"/>
    <x v="4"/>
    <n v="-200"/>
    <m/>
    <x v="4"/>
    <x v="1"/>
  </r>
  <r>
    <x v="11"/>
    <x v="2"/>
    <x v="5"/>
    <n v="-40"/>
    <m/>
    <x v="4"/>
    <x v="1"/>
  </r>
  <r>
    <x v="11"/>
    <x v="2"/>
    <x v="6"/>
    <n v="-3"/>
    <m/>
    <x v="4"/>
    <x v="1"/>
  </r>
  <r>
    <x v="11"/>
    <x v="1"/>
    <x v="7"/>
    <n v="-39.97"/>
    <m/>
    <x v="4"/>
    <x v="1"/>
  </r>
  <r>
    <x v="11"/>
    <x v="1"/>
    <x v="8"/>
    <n v="-400"/>
    <m/>
    <x v="4"/>
    <x v="1"/>
  </r>
  <r>
    <x v="12"/>
    <x v="1"/>
    <x v="1"/>
    <n v="-60"/>
    <m/>
    <x v="5"/>
    <x v="1"/>
  </r>
  <r>
    <x v="13"/>
    <x v="1"/>
    <x v="13"/>
    <n v="-200"/>
    <m/>
    <x v="5"/>
    <x v="1"/>
  </r>
  <r>
    <x v="13"/>
    <x v="1"/>
    <x v="2"/>
    <n v="-115"/>
    <m/>
    <x v="5"/>
    <x v="1"/>
  </r>
  <r>
    <x v="13"/>
    <x v="3"/>
    <x v="3"/>
    <n v="1400"/>
    <m/>
    <x v="5"/>
    <x v="1"/>
  </r>
  <r>
    <x v="13"/>
    <x v="1"/>
    <x v="4"/>
    <n v="-205"/>
    <m/>
    <x v="5"/>
    <x v="1"/>
  </r>
  <r>
    <x v="13"/>
    <x v="2"/>
    <x v="5"/>
    <n v="-40"/>
    <m/>
    <x v="5"/>
    <x v="1"/>
  </r>
  <r>
    <x v="13"/>
    <x v="2"/>
    <x v="6"/>
    <n v="-3"/>
    <m/>
    <x v="5"/>
    <x v="1"/>
  </r>
  <r>
    <x v="13"/>
    <x v="1"/>
    <x v="7"/>
    <n v="-39.97"/>
    <m/>
    <x v="5"/>
    <x v="1"/>
  </r>
  <r>
    <x v="13"/>
    <x v="1"/>
    <x v="8"/>
    <n v="-400"/>
    <m/>
    <x v="5"/>
    <x v="1"/>
  </r>
  <r>
    <x v="14"/>
    <x v="1"/>
    <x v="1"/>
    <n v="-60.5"/>
    <m/>
    <x v="6"/>
    <x v="1"/>
  </r>
  <r>
    <x v="14"/>
    <x v="1"/>
    <x v="1"/>
    <n v="-61.45"/>
    <m/>
    <x v="6"/>
    <x v="1"/>
  </r>
  <r>
    <x v="15"/>
    <x v="1"/>
    <x v="13"/>
    <n v="-200"/>
    <m/>
    <x v="6"/>
    <x v="1"/>
  </r>
  <r>
    <x v="15"/>
    <x v="1"/>
    <x v="2"/>
    <n v="-95"/>
    <m/>
    <x v="6"/>
    <x v="1"/>
  </r>
  <r>
    <x v="15"/>
    <x v="3"/>
    <x v="3"/>
    <n v="1400"/>
    <m/>
    <x v="6"/>
    <x v="1"/>
  </r>
  <r>
    <x v="15"/>
    <x v="1"/>
    <x v="4"/>
    <n v="-190"/>
    <m/>
    <x v="6"/>
    <x v="1"/>
  </r>
  <r>
    <x v="15"/>
    <x v="1"/>
    <x v="4"/>
    <n v="-260"/>
    <m/>
    <x v="6"/>
    <x v="1"/>
  </r>
  <r>
    <x v="15"/>
    <x v="1"/>
    <x v="7"/>
    <n v="-39.97"/>
    <m/>
    <x v="6"/>
    <x v="1"/>
  </r>
  <r>
    <x v="15"/>
    <x v="1"/>
    <x v="8"/>
    <n v="-400"/>
    <m/>
    <x v="6"/>
    <x v="1"/>
  </r>
  <r>
    <x v="16"/>
    <x v="2"/>
    <x v="11"/>
    <n v="-100"/>
    <m/>
    <x v="6"/>
    <x v="1"/>
  </r>
  <r>
    <x v="17"/>
    <x v="1"/>
    <x v="1"/>
    <n v="-59.69"/>
    <m/>
    <x v="7"/>
    <x v="1"/>
  </r>
  <r>
    <x v="18"/>
    <x v="1"/>
    <x v="13"/>
    <n v="-200"/>
    <m/>
    <x v="7"/>
    <x v="1"/>
  </r>
  <r>
    <x v="18"/>
    <x v="3"/>
    <x v="3"/>
    <n v="1400"/>
    <m/>
    <x v="7"/>
    <x v="1"/>
  </r>
  <r>
    <x v="18"/>
    <x v="2"/>
    <x v="6"/>
    <n v="-3"/>
    <m/>
    <x v="7"/>
    <x v="1"/>
  </r>
  <r>
    <x v="18"/>
    <x v="1"/>
    <x v="7"/>
    <n v="-39.97"/>
    <m/>
    <x v="7"/>
    <x v="1"/>
  </r>
  <r>
    <x v="18"/>
    <x v="2"/>
    <x v="5"/>
    <n v="-40"/>
    <m/>
    <x v="7"/>
    <x v="1"/>
  </r>
  <r>
    <x v="18"/>
    <x v="2"/>
    <x v="0"/>
    <n v="-120"/>
    <m/>
    <x v="7"/>
    <x v="1"/>
  </r>
  <r>
    <x v="18"/>
    <x v="1"/>
    <x v="2"/>
    <n v="-125"/>
    <m/>
    <x v="7"/>
    <x v="1"/>
  </r>
  <r>
    <x v="18"/>
    <x v="1"/>
    <x v="8"/>
    <n v="-400"/>
    <m/>
    <x v="7"/>
    <x v="1"/>
  </r>
  <r>
    <x v="19"/>
    <x v="3"/>
    <x v="14"/>
    <n v="200"/>
    <m/>
    <x v="7"/>
    <x v="1"/>
  </r>
  <r>
    <x v="19"/>
    <x v="2"/>
    <x v="15"/>
    <n v="-60"/>
    <m/>
    <x v="7"/>
    <x v="1"/>
  </r>
  <r>
    <x v="19"/>
    <x v="2"/>
    <x v="15"/>
    <n v="-90"/>
    <m/>
    <x v="7"/>
    <x v="1"/>
  </r>
  <r>
    <x v="20"/>
    <x v="1"/>
    <x v="1"/>
    <n v="-63.87"/>
    <m/>
    <x v="8"/>
    <x v="1"/>
  </r>
  <r>
    <x v="21"/>
    <x v="1"/>
    <x v="13"/>
    <n v="-200"/>
    <m/>
    <x v="8"/>
    <x v="1"/>
  </r>
  <r>
    <x v="21"/>
    <x v="1"/>
    <x v="2"/>
    <n v="-100"/>
    <m/>
    <x v="8"/>
    <x v="1"/>
  </r>
  <r>
    <x v="21"/>
    <x v="2"/>
    <x v="16"/>
    <n v="-100"/>
    <m/>
    <x v="8"/>
    <x v="1"/>
  </r>
  <r>
    <x v="21"/>
    <x v="3"/>
    <x v="3"/>
    <n v="1400"/>
    <m/>
    <x v="8"/>
    <x v="1"/>
  </r>
  <r>
    <x v="21"/>
    <x v="1"/>
    <x v="4"/>
    <n v="-215"/>
    <m/>
    <x v="8"/>
    <x v="1"/>
  </r>
  <r>
    <x v="21"/>
    <x v="2"/>
    <x v="5"/>
    <n v="-40"/>
    <m/>
    <x v="8"/>
    <x v="1"/>
  </r>
  <r>
    <x v="21"/>
    <x v="2"/>
    <x v="6"/>
    <n v="-3"/>
    <m/>
    <x v="8"/>
    <x v="1"/>
  </r>
  <r>
    <x v="21"/>
    <x v="1"/>
    <x v="7"/>
    <n v="-39.97"/>
    <m/>
    <x v="8"/>
    <x v="1"/>
  </r>
  <r>
    <x v="21"/>
    <x v="1"/>
    <x v="8"/>
    <n v="-400"/>
    <m/>
    <x v="8"/>
    <x v="1"/>
  </r>
  <r>
    <x v="22"/>
    <x v="1"/>
    <x v="13"/>
    <n v="-200"/>
    <m/>
    <x v="9"/>
    <x v="1"/>
  </r>
  <r>
    <x v="22"/>
    <x v="2"/>
    <x v="0"/>
    <n v="-15"/>
    <m/>
    <x v="9"/>
    <x v="1"/>
  </r>
  <r>
    <x v="22"/>
    <x v="1"/>
    <x v="2"/>
    <n v="-100"/>
    <m/>
    <x v="9"/>
    <x v="1"/>
  </r>
  <r>
    <x v="22"/>
    <x v="3"/>
    <x v="3"/>
    <n v="1400"/>
    <m/>
    <x v="9"/>
    <x v="1"/>
  </r>
  <r>
    <x v="22"/>
    <x v="1"/>
    <x v="4"/>
    <n v="-200"/>
    <m/>
    <x v="9"/>
    <x v="1"/>
  </r>
  <r>
    <x v="23"/>
    <x v="1"/>
    <x v="17"/>
    <n v="-60"/>
    <m/>
    <x v="9"/>
    <x v="1"/>
  </r>
  <r>
    <x v="24"/>
    <x v="1"/>
    <x v="1"/>
    <n v="-63.87"/>
    <m/>
    <x v="10"/>
    <x v="1"/>
  </r>
  <r>
    <x v="25"/>
    <x v="1"/>
    <x v="13"/>
    <n v="-200"/>
    <m/>
    <x v="10"/>
    <x v="1"/>
  </r>
  <r>
    <x v="25"/>
    <x v="1"/>
    <x v="2"/>
    <n v="-100"/>
    <m/>
    <x v="10"/>
    <x v="1"/>
  </r>
  <r>
    <x v="25"/>
    <x v="3"/>
    <x v="3"/>
    <n v="1400"/>
    <m/>
    <x v="10"/>
    <x v="1"/>
  </r>
  <r>
    <x v="25"/>
    <x v="1"/>
    <x v="4"/>
    <n v="-200"/>
    <m/>
    <x v="10"/>
    <x v="1"/>
  </r>
  <r>
    <x v="25"/>
    <x v="2"/>
    <x v="5"/>
    <n v="-40"/>
    <m/>
    <x v="10"/>
    <x v="1"/>
  </r>
  <r>
    <x v="25"/>
    <x v="2"/>
    <x v="6"/>
    <n v="-3"/>
    <m/>
    <x v="10"/>
    <x v="1"/>
  </r>
  <r>
    <x v="25"/>
    <x v="1"/>
    <x v="7"/>
    <n v="-39.97"/>
    <m/>
    <x v="10"/>
    <x v="1"/>
  </r>
  <r>
    <x v="25"/>
    <x v="1"/>
    <x v="8"/>
    <n v="-400"/>
    <m/>
    <x v="10"/>
    <x v="1"/>
  </r>
  <r>
    <x v="26"/>
    <x v="1"/>
    <x v="17"/>
    <n v="-80"/>
    <m/>
    <x v="10"/>
    <x v="1"/>
  </r>
  <r>
    <x v="26"/>
    <x v="1"/>
    <x v="17"/>
    <n v="-80"/>
    <m/>
    <x v="10"/>
    <x v="1"/>
  </r>
  <r>
    <x v="27"/>
    <x v="1"/>
    <x v="1"/>
    <n v="-63"/>
    <m/>
    <x v="11"/>
    <x v="1"/>
  </r>
  <r>
    <x v="28"/>
    <x v="1"/>
    <x v="13"/>
    <n v="-200"/>
    <m/>
    <x v="11"/>
    <x v="1"/>
  </r>
  <r>
    <x v="28"/>
    <x v="1"/>
    <x v="2"/>
    <n v="-100"/>
    <m/>
    <x v="11"/>
    <x v="1"/>
  </r>
  <r>
    <x v="28"/>
    <x v="3"/>
    <x v="3"/>
    <n v="1400"/>
    <m/>
    <x v="11"/>
    <x v="1"/>
  </r>
  <r>
    <x v="28"/>
    <x v="1"/>
    <x v="4"/>
    <n v="-200"/>
    <m/>
    <x v="11"/>
    <x v="1"/>
  </r>
  <r>
    <x v="28"/>
    <x v="2"/>
    <x v="5"/>
    <n v="-40"/>
    <m/>
    <x v="11"/>
    <x v="1"/>
  </r>
  <r>
    <x v="28"/>
    <x v="2"/>
    <x v="6"/>
    <n v="-3"/>
    <m/>
    <x v="11"/>
    <x v="1"/>
  </r>
  <r>
    <x v="28"/>
    <x v="1"/>
    <x v="7"/>
    <n v="-39.97"/>
    <m/>
    <x v="11"/>
    <x v="1"/>
  </r>
  <r>
    <x v="28"/>
    <x v="1"/>
    <x v="8"/>
    <n v="-400"/>
    <m/>
    <x v="11"/>
    <x v="1"/>
  </r>
  <r>
    <x v="29"/>
    <x v="1"/>
    <x v="1"/>
    <n v="-65"/>
    <m/>
    <x v="0"/>
    <x v="1"/>
  </r>
  <r>
    <x v="30"/>
    <x v="1"/>
    <x v="13"/>
    <n v="-200"/>
    <m/>
    <x v="0"/>
    <x v="1"/>
  </r>
  <r>
    <x v="30"/>
    <x v="1"/>
    <x v="4"/>
    <n v="-200"/>
    <m/>
    <x v="0"/>
    <x v="1"/>
  </r>
  <r>
    <x v="30"/>
    <x v="2"/>
    <x v="5"/>
    <n v="-40"/>
    <m/>
    <x v="0"/>
    <x v="1"/>
  </r>
  <r>
    <x v="30"/>
    <x v="2"/>
    <x v="6"/>
    <n v="-3"/>
    <m/>
    <x v="0"/>
    <x v="1"/>
  </r>
  <r>
    <x v="30"/>
    <x v="1"/>
    <x v="7"/>
    <n v="-39.97"/>
    <m/>
    <x v="0"/>
    <x v="1"/>
  </r>
  <r>
    <x v="30"/>
    <x v="1"/>
    <x v="8"/>
    <n v="-400"/>
    <m/>
    <x v="0"/>
    <x v="1"/>
  </r>
  <r>
    <x v="31"/>
    <x v="1"/>
    <x v="1"/>
    <n v="-62"/>
    <m/>
    <x v="1"/>
    <x v="1"/>
  </r>
  <r>
    <x v="32"/>
    <x v="1"/>
    <x v="8"/>
    <n v="-400"/>
    <m/>
    <x v="1"/>
    <x v="1"/>
  </r>
  <r>
    <x v="32"/>
    <x v="1"/>
    <x v="13"/>
    <n v="-200"/>
    <m/>
    <x v="1"/>
    <x v="1"/>
  </r>
  <r>
    <x v="32"/>
    <x v="2"/>
    <x v="0"/>
    <n v="-100"/>
    <m/>
    <x v="1"/>
    <x v="1"/>
  </r>
  <r>
    <x v="32"/>
    <x v="1"/>
    <x v="2"/>
    <n v="-100"/>
    <m/>
    <x v="1"/>
    <x v="1"/>
  </r>
  <r>
    <x v="32"/>
    <x v="3"/>
    <x v="3"/>
    <n v="1400"/>
    <m/>
    <x v="1"/>
    <x v="1"/>
  </r>
  <r>
    <x v="32"/>
    <x v="1"/>
    <x v="4"/>
    <n v="-200"/>
    <m/>
    <x v="1"/>
    <x v="1"/>
  </r>
  <r>
    <x v="32"/>
    <x v="1"/>
    <x v="7"/>
    <n v="-39.97"/>
    <m/>
    <x v="1"/>
    <x v="1"/>
  </r>
  <r>
    <x v="32"/>
    <x v="1"/>
    <x v="8"/>
    <n v="-400"/>
    <m/>
    <x v="1"/>
    <x v="1"/>
  </r>
  <r>
    <x v="33"/>
    <x v="2"/>
    <x v="11"/>
    <n v="-100"/>
    <m/>
    <x v="1"/>
    <x v="1"/>
  </r>
  <r>
    <x v="34"/>
    <x v="3"/>
    <x v="3"/>
    <n v="1600"/>
    <m/>
    <x v="2"/>
    <x v="2"/>
  </r>
  <r>
    <x v="35"/>
    <x v="1"/>
    <x v="4"/>
    <n v="-250"/>
    <m/>
    <x v="2"/>
    <x v="2"/>
  </r>
  <r>
    <x v="35"/>
    <x v="1"/>
    <x v="7"/>
    <n v="-39.97"/>
    <m/>
    <x v="2"/>
    <x v="2"/>
  </r>
  <r>
    <x v="35"/>
    <x v="1"/>
    <x v="8"/>
    <n v="-400"/>
    <m/>
    <x v="2"/>
    <x v="2"/>
  </r>
  <r>
    <x v="36"/>
    <x v="3"/>
    <x v="3"/>
    <n v="1600"/>
    <m/>
    <x v="3"/>
    <x v="2"/>
  </r>
  <r>
    <x v="37"/>
    <x v="1"/>
    <x v="4"/>
    <n v="-250"/>
    <m/>
    <x v="3"/>
    <x v="2"/>
  </r>
  <r>
    <x v="37"/>
    <x v="1"/>
    <x v="7"/>
    <n v="-39.97"/>
    <m/>
    <x v="3"/>
    <x v="2"/>
  </r>
  <r>
    <x v="37"/>
    <x v="1"/>
    <x v="8"/>
    <n v="-400"/>
    <m/>
    <x v="3"/>
    <x v="2"/>
  </r>
  <r>
    <x v="38"/>
    <x v="3"/>
    <x v="3"/>
    <n v="1600"/>
    <m/>
    <x v="4"/>
    <x v="2"/>
  </r>
  <r>
    <x v="39"/>
    <x v="1"/>
    <x v="4"/>
    <n v="-250"/>
    <m/>
    <x v="4"/>
    <x v="2"/>
  </r>
  <r>
    <x v="39"/>
    <x v="1"/>
    <x v="7"/>
    <n v="-39.97"/>
    <m/>
    <x v="4"/>
    <x v="2"/>
  </r>
  <r>
    <x v="39"/>
    <x v="1"/>
    <x v="8"/>
    <n v="-400"/>
    <m/>
    <x v="4"/>
    <x v="2"/>
  </r>
  <r>
    <x v="40"/>
    <x v="3"/>
    <x v="3"/>
    <n v="1600"/>
    <m/>
    <x v="5"/>
    <x v="2"/>
  </r>
  <r>
    <x v="41"/>
    <x v="1"/>
    <x v="4"/>
    <n v="-250"/>
    <m/>
    <x v="5"/>
    <x v="2"/>
  </r>
  <r>
    <x v="41"/>
    <x v="1"/>
    <x v="7"/>
    <n v="-49.97"/>
    <m/>
    <x v="5"/>
    <x v="2"/>
  </r>
  <r>
    <x v="41"/>
    <x v="1"/>
    <x v="8"/>
    <n v="-400"/>
    <m/>
    <x v="5"/>
    <x v="2"/>
  </r>
  <r>
    <x v="42"/>
    <x v="3"/>
    <x v="3"/>
    <n v="1600"/>
    <m/>
    <x v="5"/>
    <x v="2"/>
  </r>
  <r>
    <x v="43"/>
    <x v="3"/>
    <x v="3"/>
    <n v="1600"/>
    <m/>
    <x v="6"/>
    <x v="2"/>
  </r>
  <r>
    <x v="44"/>
    <x v="1"/>
    <x v="4"/>
    <n v="-250"/>
    <m/>
    <x v="6"/>
    <x v="2"/>
  </r>
  <r>
    <x v="44"/>
    <x v="1"/>
    <x v="7"/>
    <n v="-49.97"/>
    <m/>
    <x v="6"/>
    <x v="2"/>
  </r>
  <r>
    <x v="44"/>
    <x v="1"/>
    <x v="8"/>
    <n v="-400"/>
    <m/>
    <x v="6"/>
    <x v="2"/>
  </r>
  <r>
    <x v="45"/>
    <x v="3"/>
    <x v="3"/>
    <n v="1600"/>
    <m/>
    <x v="7"/>
    <x v="2"/>
  </r>
  <r>
    <x v="46"/>
    <x v="1"/>
    <x v="4"/>
    <n v="-250"/>
    <m/>
    <x v="7"/>
    <x v="2"/>
  </r>
  <r>
    <x v="46"/>
    <x v="1"/>
    <x v="7"/>
    <n v="-49.97"/>
    <m/>
    <x v="7"/>
    <x v="2"/>
  </r>
  <r>
    <x v="46"/>
    <x v="1"/>
    <x v="8"/>
    <n v="-450"/>
    <m/>
    <x v="7"/>
    <x v="2"/>
  </r>
  <r>
    <x v="47"/>
    <x v="3"/>
    <x v="3"/>
    <n v="1600"/>
    <m/>
    <x v="8"/>
    <x v="2"/>
  </r>
  <r>
    <x v="48"/>
    <x v="1"/>
    <x v="4"/>
    <n v="-250"/>
    <m/>
    <x v="8"/>
    <x v="2"/>
  </r>
  <r>
    <x v="48"/>
    <x v="1"/>
    <x v="7"/>
    <n v="-49.97"/>
    <m/>
    <x v="8"/>
    <x v="2"/>
  </r>
  <r>
    <x v="48"/>
    <x v="1"/>
    <x v="8"/>
    <n v="-450"/>
    <m/>
    <x v="8"/>
    <x v="2"/>
  </r>
  <r>
    <x v="49"/>
    <x v="3"/>
    <x v="3"/>
    <n v="1600"/>
    <m/>
    <x v="9"/>
    <x v="2"/>
  </r>
  <r>
    <x v="50"/>
    <x v="1"/>
    <x v="4"/>
    <n v="-250"/>
    <m/>
    <x v="9"/>
    <x v="2"/>
  </r>
  <r>
    <x v="50"/>
    <x v="1"/>
    <x v="7"/>
    <n v="-49.97"/>
    <m/>
    <x v="9"/>
    <x v="2"/>
  </r>
  <r>
    <x v="50"/>
    <x v="1"/>
    <x v="8"/>
    <n v="-450"/>
    <m/>
    <x v="9"/>
    <x v="2"/>
  </r>
  <r>
    <x v="51"/>
    <x v="3"/>
    <x v="3"/>
    <n v="1600"/>
    <m/>
    <x v="10"/>
    <x v="2"/>
  </r>
  <r>
    <x v="52"/>
    <x v="1"/>
    <x v="4"/>
    <n v="-250"/>
    <m/>
    <x v="10"/>
    <x v="2"/>
  </r>
  <r>
    <x v="52"/>
    <x v="1"/>
    <x v="7"/>
    <n v="-49.97"/>
    <m/>
    <x v="10"/>
    <x v="2"/>
  </r>
  <r>
    <x v="52"/>
    <x v="1"/>
    <x v="8"/>
    <n v="-450"/>
    <m/>
    <x v="10"/>
    <x v="2"/>
  </r>
  <r>
    <x v="53"/>
    <x v="3"/>
    <x v="3"/>
    <n v="1600"/>
    <m/>
    <x v="11"/>
    <x v="2"/>
  </r>
  <r>
    <x v="54"/>
    <x v="1"/>
    <x v="4"/>
    <n v="-250"/>
    <m/>
    <x v="11"/>
    <x v="2"/>
  </r>
  <r>
    <x v="54"/>
    <x v="1"/>
    <x v="7"/>
    <n v="-49.97"/>
    <m/>
    <x v="11"/>
    <x v="2"/>
  </r>
  <r>
    <x v="54"/>
    <x v="1"/>
    <x v="8"/>
    <n v="-450"/>
    <m/>
    <x v="11"/>
    <x v="2"/>
  </r>
  <r>
    <x v="55"/>
    <x v="3"/>
    <x v="3"/>
    <n v="1600"/>
    <m/>
    <x v="0"/>
    <x v="2"/>
  </r>
  <r>
    <x v="56"/>
    <x v="1"/>
    <x v="4"/>
    <n v="-250"/>
    <m/>
    <x v="0"/>
    <x v="2"/>
  </r>
  <r>
    <x v="56"/>
    <x v="1"/>
    <x v="7"/>
    <n v="-49.97"/>
    <m/>
    <x v="0"/>
    <x v="2"/>
  </r>
  <r>
    <x v="56"/>
    <x v="1"/>
    <x v="8"/>
    <n v="-450"/>
    <m/>
    <x v="0"/>
    <x v="2"/>
  </r>
  <r>
    <x v="57"/>
    <x v="1"/>
    <x v="4"/>
    <n v="-250"/>
    <m/>
    <x v="1"/>
    <x v="2"/>
  </r>
  <r>
    <x v="57"/>
    <x v="1"/>
    <x v="7"/>
    <n v="-49.97"/>
    <m/>
    <x v="1"/>
    <x v="2"/>
  </r>
  <r>
    <x v="57"/>
    <x v="1"/>
    <x v="8"/>
    <n v="-450"/>
    <m/>
    <x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amica3" cacheId="7" applyNumberFormats="0" applyBorderFormats="0" applyFontFormats="0" applyPatternFormats="0" applyAlignmentFormats="0" applyWidthHeightFormats="1" dataCaption="Valores" grandTotalCaption="Ahorro" updatedVersion="6" minRefreshableVersion="3" itemPrintTitles="1" createdVersion="7" indent="0" showHeaders="0" outline="1" outlineData="1" multipleFieldFilters="0" chartFormat="1">
  <location ref="D11:Q12" firstHeaderRow="0" firstDataRow="1" firstDataCol="1"/>
  <pivotFields count="10">
    <pivotField numFmtId="14" showAll="0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m="1" x="59"/>
        <item m="1" x="58"/>
        <item m="1" x="60"/>
        <item t="default"/>
      </items>
    </pivotField>
    <pivotField showAll="0" sortType="ascending"/>
    <pivotField showAll="0"/>
    <pivotField dataField="1" showAll="0"/>
    <pivotField showAll="0"/>
    <pivotField axis="axisCol" showAll="0" sortType="ascending">
      <items count="14">
        <item x="2"/>
        <item x="3"/>
        <item x="4"/>
        <item x="5"/>
        <item x="6"/>
        <item x="7"/>
        <item x="8"/>
        <item x="9"/>
        <item m="1" x="12"/>
        <item x="10"/>
        <item x="11"/>
        <item x="0"/>
        <item x="1"/>
        <item t="default"/>
      </items>
    </pivotField>
    <pivotField showAll="0">
      <items count="5">
        <item m="1" x="3"/>
        <item x="0"/>
        <item x="1"/>
        <item x="2"/>
        <item t="default"/>
      </items>
    </pivotField>
    <pivotField dragToRow="0" dragToCol="0" dragToPage="0" showAll="0" defaultSubtotal="0"/>
    <pivotField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showAll="0">
      <items count="6">
        <item x="3"/>
        <item x="1"/>
        <item x="2"/>
        <item x="0"/>
        <item x="4"/>
        <item t="default"/>
      </items>
    </pivotField>
  </pivotFields>
  <rowItems count="1">
    <i/>
  </rowItems>
  <colFields count="1">
    <field x="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 t="grand">
      <x/>
    </i>
  </colItems>
  <dataFields count="1">
    <dataField name="Suma de Importe      ." fld="3" baseField="0" baseItem="0"/>
  </dataFields>
  <formats count="40">
    <format dxfId="253">
      <pivotArea type="origin" dataOnly="0" labelOnly="1" outline="0" fieldPosition="0"/>
    </format>
    <format dxfId="252">
      <pivotArea dataOnly="0" labelOnly="1" grandRow="1" outline="0" fieldPosition="0"/>
    </format>
    <format dxfId="251">
      <pivotArea type="origin" dataOnly="0" labelOnly="1" outline="0" fieldPosition="0"/>
    </format>
    <format dxfId="250">
      <pivotArea type="topRight" dataOnly="0" labelOnly="1" outline="0" fieldPosition="0"/>
    </format>
    <format dxfId="249">
      <pivotArea dataOnly="0" labelOnly="1" grandCol="1" outline="0" fieldPosition="0"/>
    </format>
    <format dxfId="248">
      <pivotArea dataOnly="0" labelOnly="1" grandCol="1" outline="0" fieldPosition="0"/>
    </format>
    <format dxfId="247">
      <pivotArea dataOnly="0" labelOnly="1" grandCol="1" outline="0" fieldPosition="0"/>
    </format>
    <format dxfId="246">
      <pivotArea dataOnly="0" grandCol="1" outline="0" fieldPosition="0"/>
    </format>
    <format dxfId="245">
      <pivotArea dataOnly="0" labelOnly="1" grandCol="1" outline="0" fieldPosition="0"/>
    </format>
    <format dxfId="244">
      <pivotArea dataOnly="0" labelOnly="1" grandCol="1" outline="0" fieldPosition="0"/>
    </format>
    <format dxfId="243">
      <pivotArea dataOnly="0" labelOnly="1" outline="0" axis="axisValues" fieldPosition="0"/>
    </format>
    <format dxfId="242">
      <pivotArea outline="0" collapsedLevelsAreSubtotals="1" fieldPosition="0"/>
    </format>
    <format dxfId="241">
      <pivotArea dataOnly="0" labelOnly="1" outline="0" axis="axisValues" fieldPosition="0"/>
    </format>
    <format dxfId="240">
      <pivotArea type="all" dataOnly="0" outline="0" fieldPosition="0"/>
    </format>
    <format dxfId="239">
      <pivotArea outline="0" collapsedLevelsAreSubtotals="1" fieldPosition="0"/>
    </format>
    <format dxfId="238">
      <pivotArea type="origin" dataOnly="0" labelOnly="1" outline="0" fieldPosition="0"/>
    </format>
    <format dxfId="237">
      <pivotArea dataOnly="0" labelOnly="1" outline="0" axis="axisValues" fieldPosition="0"/>
    </format>
    <format dxfId="236">
      <pivotArea outline="0" fieldPosition="0">
        <references count="1">
          <reference field="4294967294" count="1">
            <x v="0"/>
          </reference>
        </references>
      </pivotArea>
    </format>
    <format dxfId="235">
      <pivotArea type="all" dataOnly="0" outline="0" fieldPosition="0"/>
    </format>
    <format dxfId="234">
      <pivotArea type="origin" dataOnly="0" labelOnly="1" outline="0" fieldPosition="0"/>
    </format>
    <format dxfId="233">
      <pivotArea dataOnly="0" labelOnly="1" outline="0" axis="axisValues" fieldPosition="0"/>
    </format>
    <format dxfId="232">
      <pivotArea outline="0" collapsedLevelsAreSubtotals="1" fieldPosition="0"/>
    </format>
    <format dxfId="231">
      <pivotArea type="origin" dataOnly="0" labelOnly="1" outline="0" fieldPosition="0"/>
    </format>
    <format dxfId="230">
      <pivotArea dataOnly="0" labelOnly="1" outline="0" axis="axisValues" fieldPosition="0"/>
    </format>
    <format dxfId="229">
      <pivotArea outline="0" collapsedLevelsAreSubtotals="1" fieldPosition="0"/>
    </format>
    <format dxfId="228">
      <pivotArea type="origin" dataOnly="0" labelOnly="1" outline="0" fieldPosition="0"/>
    </format>
    <format dxfId="227">
      <pivotArea dataOnly="0" labelOnly="1" outline="0" axis="axisValues" fieldPosition="0"/>
    </format>
    <format dxfId="226">
      <pivotArea outline="0" collapsedLevelsAreSubtotals="1" fieldPosition="0"/>
    </format>
    <format dxfId="225">
      <pivotArea type="origin" dataOnly="0" labelOnly="1" outline="0" fieldPosition="0"/>
    </format>
    <format dxfId="224">
      <pivotArea dataOnly="0" labelOnly="1" outline="0" axis="axisValues" fieldPosition="0"/>
    </format>
    <format dxfId="223">
      <pivotArea outline="0" collapsedLevelsAreSubtotals="1" fieldPosition="0"/>
    </format>
    <format dxfId="222">
      <pivotArea type="origin" dataOnly="0" labelOnly="1" outline="0" fieldPosition="0"/>
    </format>
    <format dxfId="221">
      <pivotArea dataOnly="0" labelOnly="1" outline="0" axis="axisValues" fieldPosition="0"/>
    </format>
    <format dxfId="220">
      <pivotArea outline="0" collapsedLevelsAreSubtotals="1" fieldPosition="0"/>
    </format>
    <format dxfId="219">
      <pivotArea type="origin" dataOnly="0" labelOnly="1" outline="0" fieldPosition="0"/>
    </format>
    <format dxfId="218">
      <pivotArea dataOnly="0" labelOnly="1" outline="0" axis="axisValues" fieldPosition="0"/>
    </format>
    <format dxfId="217">
      <pivotArea outline="0" collapsedLevelsAreSubtotals="1" fieldPosition="0"/>
    </format>
    <format dxfId="216">
      <pivotArea type="origin" dataOnly="0" labelOnly="1" outline="0" fieldPosition="0"/>
    </format>
    <format dxfId="215">
      <pivotArea dataOnly="0" labelOnly="1" outline="0" axis="axisValues" fieldPosition="0"/>
    </format>
    <format dxfId="214">
      <pivotArea outline="0" collapsedLevelsAreSubtotals="1" fieldPosition="0"/>
    </format>
  </formats>
  <pivotTableStyleInfo name="Mi estilo TD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amica1" cacheId="7" applyNumberFormats="0" applyBorderFormats="0" applyFontFormats="0" applyPatternFormats="0" applyAlignmentFormats="0" applyWidthHeightFormats="1" dataCaption="Valores" grandTotalCaption="Ahorro mensual" updatedVersion="6" minRefreshableVersion="3" rowGrandTotals="0" itemPrintTitles="1" createdVersion="7" indent="0" showHeaders="0" outline="1" outlineData="1" multipleFieldFilters="0" chartFormat="1">
  <location ref="D14:Q38" firstHeaderRow="1" firstDataRow="2" firstDataCol="1"/>
  <pivotFields count="10">
    <pivotField numFmtId="14" showAll="0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m="1" x="59"/>
        <item m="1" x="58"/>
        <item m="1" x="60"/>
        <item t="default"/>
      </items>
    </pivotField>
    <pivotField axis="axisRow" showAll="0" sortType="ascending">
      <items count="14">
        <item x="0"/>
        <item x="3"/>
        <item m="1" x="10"/>
        <item m="1" x="6"/>
        <item x="1"/>
        <item m="1" x="7"/>
        <item m="1" x="5"/>
        <item m="1" x="11"/>
        <item x="2"/>
        <item m="1" x="12"/>
        <item m="1" x="8"/>
        <item m="1" x="9"/>
        <item m="1" x="4"/>
        <item t="default"/>
      </items>
    </pivotField>
    <pivotField axis="axisRow" showAll="0">
      <items count="30">
        <item m="1" x="23"/>
        <item x="8"/>
        <item m="1" x="21"/>
        <item x="4"/>
        <item m="1" x="19"/>
        <item m="1" x="22"/>
        <item x="2"/>
        <item x="7"/>
        <item x="1"/>
        <item x="3"/>
        <item x="0"/>
        <item m="1" x="20"/>
        <item x="9"/>
        <item m="1" x="26"/>
        <item x="6"/>
        <item x="10"/>
        <item m="1" x="24"/>
        <item m="1" x="25"/>
        <item x="12"/>
        <item m="1" x="27"/>
        <item m="1" x="28"/>
        <item x="5"/>
        <item x="16"/>
        <item x="11"/>
        <item x="14"/>
        <item x="15"/>
        <item m="1" x="18"/>
        <item x="13"/>
        <item x="17"/>
        <item t="default"/>
      </items>
    </pivotField>
    <pivotField dataField="1" showAll="0"/>
    <pivotField showAll="0"/>
    <pivotField showAll="0" sortType="ascending"/>
    <pivotField showAll="0">
      <items count="5">
        <item m="1" x="3"/>
        <item x="0"/>
        <item x="1"/>
        <item x="2"/>
        <item t="default"/>
      </items>
    </pivotField>
    <pivotField dragToRow="0" dragToCol="0" dragToPage="0" showAll="0" defaultSubtotal="0"/>
    <pivotField axis="axisCol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showAll="0">
      <items count="6">
        <item x="3"/>
        <item x="1"/>
        <item x="2"/>
        <item x="0"/>
        <item x="4"/>
        <item t="default"/>
      </items>
    </pivotField>
  </pivotFields>
  <rowFields count="2">
    <field x="1"/>
    <field x="2"/>
  </rowFields>
  <rowItems count="23">
    <i>
      <x/>
    </i>
    <i r="1">
      <x v="10"/>
    </i>
    <i>
      <x v="1"/>
    </i>
    <i r="1">
      <x v="9"/>
    </i>
    <i r="1">
      <x v="24"/>
    </i>
    <i>
      <x v="4"/>
    </i>
    <i r="1">
      <x v="1"/>
    </i>
    <i r="1">
      <x v="3"/>
    </i>
    <i r="1">
      <x v="6"/>
    </i>
    <i r="1">
      <x v="7"/>
    </i>
    <i r="1">
      <x v="8"/>
    </i>
    <i r="1">
      <x v="18"/>
    </i>
    <i r="1">
      <x v="27"/>
    </i>
    <i r="1">
      <x v="28"/>
    </i>
    <i>
      <x v="8"/>
    </i>
    <i r="1">
      <x v="10"/>
    </i>
    <i r="1">
      <x v="12"/>
    </i>
    <i r="1">
      <x v="14"/>
    </i>
    <i r="1">
      <x v="15"/>
    </i>
    <i r="1">
      <x v="21"/>
    </i>
    <i r="1">
      <x v="22"/>
    </i>
    <i r="1">
      <x v="23"/>
    </i>
    <i r="1">
      <x v="25"/>
    </i>
  </rowItems>
  <colFields count="1">
    <field x="8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a de Importe      ." fld="3" baseField="0" baseItem="0" numFmtId="165"/>
  </dataFields>
  <formats count="126">
    <format dxfId="379">
      <pivotArea type="origin" dataOnly="0" labelOnly="1" outline="0" fieldPosition="0"/>
    </format>
    <format dxfId="378">
      <pivotArea dataOnly="0" labelOnly="1" grandRow="1" outline="0" fieldPosition="0"/>
    </format>
    <format dxfId="377">
      <pivotArea type="origin" dataOnly="0" labelOnly="1" outline="0" fieldPosition="0"/>
    </format>
    <format dxfId="376">
      <pivotArea type="topRight" dataOnly="0" labelOnly="1" outline="0" fieldPosition="0"/>
    </format>
    <format dxfId="375">
      <pivotArea dataOnly="0" labelOnly="1" grandCol="1" outline="0" fieldPosition="0"/>
    </format>
    <format dxfId="374">
      <pivotArea dataOnly="0" labelOnly="1" grandCol="1" outline="0" fieldPosition="0"/>
    </format>
    <format dxfId="373">
      <pivotArea dataOnly="0" labelOnly="1" grandCol="1" outline="0" fieldPosition="0"/>
    </format>
    <format dxfId="372">
      <pivotArea dataOnly="0" grandCol="1" outline="0" fieldPosition="0"/>
    </format>
    <format dxfId="371">
      <pivotArea dataOnly="0" labelOnly="1" grandCol="1" outline="0" fieldPosition="0"/>
    </format>
    <format dxfId="370">
      <pivotArea dataOnly="0" labelOnly="1" grandCol="1" outline="0" fieldPosition="0"/>
    </format>
    <format dxfId="369">
      <pivotArea grandRow="1" outline="0" collapsedLevelsAreSubtotals="1" fieldPosition="0"/>
    </format>
    <format dxfId="368">
      <pivotArea dataOnly="0" labelOnly="1" grandRow="1" outline="0" fieldPosition="0"/>
    </format>
    <format dxfId="367">
      <pivotArea dataOnly="0" labelOnly="1" grandCol="1" outline="0" fieldPosition="0"/>
    </format>
    <format dxfId="366">
      <pivotArea type="all" dataOnly="0" outline="0" fieldPosition="0"/>
    </format>
    <format dxfId="365">
      <pivotArea outline="0" collapsedLevelsAreSubtotals="1" fieldPosition="0"/>
    </format>
    <format dxfId="364">
      <pivotArea type="origin" dataOnly="0" labelOnly="1" outline="0" fieldPosition="0"/>
    </format>
    <format dxfId="363">
      <pivotArea type="topRight" dataOnly="0" labelOnly="1" outline="0" fieldPosition="0"/>
    </format>
    <format dxfId="362">
      <pivotArea dataOnly="0" labelOnly="1" fieldPosition="0">
        <references count="1">
          <reference field="1" count="0"/>
        </references>
      </pivotArea>
    </format>
    <format dxfId="361">
      <pivotArea dataOnly="0" labelOnly="1" fieldPosition="0">
        <references count="2">
          <reference field="1" count="1" selected="0">
            <x v="0"/>
          </reference>
          <reference field="2" count="1">
            <x v="10"/>
          </reference>
        </references>
      </pivotArea>
    </format>
    <format dxfId="360">
      <pivotArea dataOnly="0" labelOnly="1" fieldPosition="0">
        <references count="2">
          <reference field="1" count="1" selected="0">
            <x v="1"/>
          </reference>
          <reference field="2" count="2">
            <x v="9"/>
            <x v="24"/>
          </reference>
        </references>
      </pivotArea>
    </format>
    <format dxfId="359">
      <pivotArea dataOnly="0" labelOnly="1" fieldPosition="0">
        <references count="2">
          <reference field="1" count="1" selected="0">
            <x v="4"/>
          </reference>
          <reference field="2" count="9">
            <x v="1"/>
            <x v="3"/>
            <x v="6"/>
            <x v="7"/>
            <x v="8"/>
            <x v="14"/>
            <x v="16"/>
            <x v="18"/>
            <x v="21"/>
          </reference>
        </references>
      </pivotArea>
    </format>
    <format dxfId="358">
      <pivotArea dataOnly="0" labelOnly="1" fieldPosition="0">
        <references count="2">
          <reference field="1" count="1" selected="0">
            <x v="8"/>
          </reference>
          <reference field="2" count="7">
            <x v="10"/>
            <x v="12"/>
            <x v="15"/>
            <x v="20"/>
            <x v="22"/>
            <x v="23"/>
            <x v="25"/>
          </reference>
        </references>
      </pivotArea>
    </format>
    <format dxfId="357">
      <pivotArea dataOnly="0" labelOnly="1" fieldPosition="0">
        <references count="2">
          <reference field="1" count="1" selected="0">
            <x v="9"/>
          </reference>
          <reference field="2" count="1">
            <x v="14"/>
          </reference>
        </references>
      </pivotArea>
    </format>
    <format dxfId="356">
      <pivotArea dataOnly="0" labelOnly="1" grandCol="1" outline="0" fieldPosition="0"/>
    </format>
    <format dxfId="355">
      <pivotArea dataOnly="0" labelOnly="1" fieldPosition="0">
        <references count="1">
          <reference field="1" count="1">
            <x v="0"/>
          </reference>
        </references>
      </pivotArea>
    </format>
    <format dxfId="354">
      <pivotArea dataOnly="0" labelOnly="1" fieldPosition="0">
        <references count="1">
          <reference field="1" count="1">
            <x v="0"/>
          </reference>
        </references>
      </pivotArea>
    </format>
    <format dxfId="353">
      <pivotArea dataOnly="0" labelOnly="1" fieldPosition="0">
        <references count="1">
          <reference field="1" count="1">
            <x v="0"/>
          </reference>
        </references>
      </pivotArea>
    </format>
    <format dxfId="352">
      <pivotArea dataOnly="0" labelOnly="1" fieldPosition="0">
        <references count="1">
          <reference field="1" count="1">
            <x v="0"/>
          </reference>
        </references>
      </pivotArea>
    </format>
    <format dxfId="351">
      <pivotArea dataOnly="0" labelOnly="1" fieldPosition="0">
        <references count="1">
          <reference field="1" count="1">
            <x v="0"/>
          </reference>
        </references>
      </pivotArea>
    </format>
    <format dxfId="350">
      <pivotArea dataOnly="0" labelOnly="1" fieldPosition="0">
        <references count="1">
          <reference field="1" count="1">
            <x v="0"/>
          </reference>
        </references>
      </pivotArea>
    </format>
    <format dxfId="349">
      <pivotArea dataOnly="0" labelOnly="1" fieldPosition="0">
        <references count="1">
          <reference field="1" count="1">
            <x v="0"/>
          </reference>
        </references>
      </pivotArea>
    </format>
    <format dxfId="348">
      <pivotArea dataOnly="0" labelOnly="1" fieldPosition="0">
        <references count="1">
          <reference field="1" count="1">
            <x v="0"/>
          </reference>
        </references>
      </pivotArea>
    </format>
    <format dxfId="347">
      <pivotArea dataOnly="0" labelOnly="1" fieldPosition="0">
        <references count="1">
          <reference field="1" count="1">
            <x v="0"/>
          </reference>
        </references>
      </pivotArea>
    </format>
    <format dxfId="346">
      <pivotArea dataOnly="0" labelOnly="1" fieldPosition="0">
        <references count="1">
          <reference field="1" count="1">
            <x v="0"/>
          </reference>
        </references>
      </pivotArea>
    </format>
    <format dxfId="345">
      <pivotArea collapsedLevelsAreSubtotals="1" fieldPosition="0">
        <references count="1">
          <reference field="1" count="1">
            <x v="0"/>
          </reference>
        </references>
      </pivotArea>
    </format>
    <format dxfId="344">
      <pivotArea dataOnly="0" labelOnly="1" fieldPosition="0">
        <references count="1">
          <reference field="1" count="1">
            <x v="0"/>
          </reference>
        </references>
      </pivotArea>
    </format>
    <format dxfId="343">
      <pivotArea collapsedLevelsAreSubtotals="1" fieldPosition="0">
        <references count="1">
          <reference field="1" count="1">
            <x v="0"/>
          </reference>
        </references>
      </pivotArea>
    </format>
    <format dxfId="342">
      <pivotArea outline="0" fieldPosition="0">
        <references count="1">
          <reference field="4294967294" count="1">
            <x v="0"/>
          </reference>
        </references>
      </pivotArea>
    </format>
    <format dxfId="341">
      <pivotArea dataOnly="0" labelOnly="1" outline="0" axis="axisValues" fieldPosition="0"/>
    </format>
    <format dxfId="340">
      <pivotArea collapsedLevelsAreSubtotals="1" fieldPosition="0">
        <references count="1">
          <reference field="1" count="1">
            <x v="1"/>
          </reference>
        </references>
      </pivotArea>
    </format>
    <format dxfId="339">
      <pivotArea dataOnly="0" labelOnly="1" fieldPosition="0">
        <references count="2">
          <reference field="1" count="0" selected="0"/>
          <reference field="2" count="0"/>
        </references>
      </pivotArea>
    </format>
    <format dxfId="338">
      <pivotArea dataOnly="0" labelOnly="1" fieldPosition="0">
        <references count="2">
          <reference field="1" count="1" selected="0">
            <x v="1"/>
          </reference>
          <reference field="2" count="1">
            <x v="17"/>
          </reference>
        </references>
      </pivotArea>
    </format>
    <format dxfId="337">
      <pivotArea dataOnly="0" labelOnly="1" fieldPosition="0">
        <references count="2">
          <reference field="1" count="1" selected="0">
            <x v="8"/>
          </reference>
          <reference field="2" count="1">
            <x v="3"/>
          </reference>
        </references>
      </pivotArea>
    </format>
    <format dxfId="336">
      <pivotArea dataOnly="0" labelOnly="1" fieldPosition="0">
        <references count="2">
          <reference field="1" count="1" selected="0">
            <x v="1"/>
          </reference>
          <reference field="2" count="1">
            <x v="1"/>
          </reference>
        </references>
      </pivotArea>
    </format>
    <format dxfId="335">
      <pivotArea dataOnly="0" labelOnly="1" fieldPosition="0">
        <references count="1">
          <reference field="8" count="0"/>
        </references>
      </pivotArea>
    </format>
    <format dxfId="334">
      <pivotArea dataOnly="0" labelOnly="1" fieldPosition="0">
        <references count="2">
          <reference field="1" count="1" selected="0">
            <x v="1"/>
          </reference>
          <reference field="2" count="1">
            <x v="3"/>
          </reference>
        </references>
      </pivotArea>
    </format>
    <format dxfId="333">
      <pivotArea dataOnly="0" labelOnly="1" fieldPosition="0">
        <references count="2">
          <reference field="1" count="1" selected="0">
            <x v="4"/>
          </reference>
          <reference field="2" count="2">
            <x v="21"/>
            <x v="25"/>
          </reference>
        </references>
      </pivotArea>
    </format>
    <format dxfId="332">
      <pivotArea dataOnly="0" labelOnly="1" fieldPosition="0">
        <references count="1">
          <reference field="1" count="0"/>
        </references>
      </pivotArea>
    </format>
    <format dxfId="331">
      <pivotArea dataOnly="0" labelOnly="1" fieldPosition="0">
        <references count="2">
          <reference field="1" count="1" selected="0">
            <x v="0"/>
          </reference>
          <reference field="2" count="1">
            <x v="10"/>
          </reference>
        </references>
      </pivotArea>
    </format>
    <format dxfId="330">
      <pivotArea dataOnly="0" labelOnly="1" fieldPosition="0">
        <references count="2">
          <reference field="1" count="1" selected="0">
            <x v="8"/>
          </reference>
          <reference field="2" count="8">
            <x v="10"/>
            <x v="12"/>
            <x v="14"/>
            <x v="15"/>
            <x v="21"/>
            <x v="22"/>
            <x v="23"/>
            <x v="25"/>
          </reference>
        </references>
      </pivotArea>
    </format>
    <format dxfId="329">
      <pivotArea type="origin" dataOnly="0" labelOnly="1" outline="0" fieldPosition="0"/>
    </format>
    <format dxfId="328">
      <pivotArea dataOnly="0" labelOnly="1" fieldPosition="0">
        <references count="1">
          <reference field="1" count="3">
            <x v="1"/>
            <x v="4"/>
            <x v="8"/>
          </reference>
        </references>
      </pivotArea>
    </format>
    <format dxfId="327">
      <pivotArea dataOnly="0" labelOnly="1" fieldPosition="0">
        <references count="2">
          <reference field="1" count="1" selected="0">
            <x v="1"/>
          </reference>
          <reference field="2" count="2">
            <x v="9"/>
            <x v="24"/>
          </reference>
        </references>
      </pivotArea>
    </format>
    <format dxfId="326">
      <pivotArea dataOnly="0" labelOnly="1" fieldPosition="0">
        <references count="2">
          <reference field="1" count="1" selected="0">
            <x v="4"/>
          </reference>
          <reference field="2" count="8">
            <x v="1"/>
            <x v="3"/>
            <x v="6"/>
            <x v="7"/>
            <x v="8"/>
            <x v="18"/>
            <x v="27"/>
            <x v="28"/>
          </reference>
        </references>
      </pivotArea>
    </format>
    <format dxfId="325">
      <pivotArea dataOnly="0" labelOnly="1" fieldPosition="0">
        <references count="2">
          <reference field="1" count="1" selected="0">
            <x v="8"/>
          </reference>
          <reference field="2" count="6">
            <x v="10"/>
            <x v="14"/>
            <x v="21"/>
            <x v="22"/>
            <x v="23"/>
            <x v="25"/>
          </reference>
        </references>
      </pivotArea>
    </format>
    <format dxfId="324">
      <pivotArea outline="0" collapsedLevelsAreSubtotals="1" fieldPosition="0"/>
    </format>
    <format dxfId="323">
      <pivotArea type="topRight" dataOnly="0" labelOnly="1" outline="0" fieldPosition="0"/>
    </format>
    <format dxfId="322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21">
      <pivotArea dataOnly="0" labelOnly="1" grandCol="1" outline="0" fieldPosition="0"/>
    </format>
    <format dxfId="320">
      <pivotArea dataOnly="0" labelOnly="1" grandCol="1" outline="0" fieldPosition="0"/>
    </format>
    <format dxfId="319">
      <pivotArea dataOnly="0" labelOnly="1" grandCol="1" outline="0" fieldPosition="0"/>
    </format>
    <format dxfId="318">
      <pivotArea dataOnly="0" labelOnly="1" grandCol="1" outline="0" fieldPosition="0"/>
    </format>
    <format dxfId="317">
      <pivotArea dataOnly="0" labelOnly="1" grandCol="1" outline="0" fieldPosition="0"/>
    </format>
    <format dxfId="316">
      <pivotArea dataOnly="0" labelOnly="1" grandCol="1" outline="0" fieldPosition="0"/>
    </format>
    <format dxfId="315">
      <pivotArea dataOnly="0" labelOnly="1" grandCol="1" outline="0" fieldPosition="0"/>
    </format>
    <format dxfId="314">
      <pivotArea dataOnly="0" labelOnly="1" grandCol="1" outline="0" fieldPosition="0"/>
    </format>
    <format dxfId="313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12">
      <pivotArea dataOnly="0" labelOnly="1" grandCol="1" outline="0" fieldPosition="0"/>
    </format>
    <format dxfId="311">
      <pivotArea type="origin" dataOnly="0" labelOnly="1" outline="0" fieldPosition="0"/>
    </format>
    <format dxfId="310">
      <pivotArea dataOnly="0" labelOnly="1" fieldPosition="0">
        <references count="1">
          <reference field="1" count="0"/>
        </references>
      </pivotArea>
    </format>
    <format dxfId="309">
      <pivotArea dataOnly="0" labelOnly="1" fieldPosition="0">
        <references count="2">
          <reference field="1" count="1" selected="0">
            <x v="0"/>
          </reference>
          <reference field="2" count="1">
            <x v="10"/>
          </reference>
        </references>
      </pivotArea>
    </format>
    <format dxfId="308">
      <pivotArea dataOnly="0" labelOnly="1" fieldPosition="0">
        <references count="2">
          <reference field="1" count="1" selected="0">
            <x v="1"/>
          </reference>
          <reference field="2" count="2">
            <x v="9"/>
            <x v="24"/>
          </reference>
        </references>
      </pivotArea>
    </format>
    <format dxfId="307">
      <pivotArea dataOnly="0" labelOnly="1" fieldPosition="0">
        <references count="2">
          <reference field="1" count="1" selected="0">
            <x v="4"/>
          </reference>
          <reference field="2" count="8">
            <x v="1"/>
            <x v="3"/>
            <x v="6"/>
            <x v="7"/>
            <x v="8"/>
            <x v="18"/>
            <x v="27"/>
            <x v="28"/>
          </reference>
        </references>
      </pivotArea>
    </format>
    <format dxfId="306">
      <pivotArea dataOnly="0" labelOnly="1" fieldPosition="0">
        <references count="2">
          <reference field="1" count="1" selected="0">
            <x v="8"/>
          </reference>
          <reference field="2" count="8">
            <x v="10"/>
            <x v="12"/>
            <x v="14"/>
            <x v="15"/>
            <x v="21"/>
            <x v="22"/>
            <x v="23"/>
            <x v="25"/>
          </reference>
        </references>
      </pivotArea>
    </format>
    <format dxfId="305">
      <pivotArea outline="0" collapsedLevelsAreSubtotals="1" fieldPosition="0"/>
    </format>
    <format dxfId="304">
      <pivotArea type="topRight" dataOnly="0" labelOnly="1" outline="0" fieldPosition="0"/>
    </format>
    <format dxfId="303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02">
      <pivotArea dataOnly="0" labelOnly="1" grandCol="1" outline="0" fieldPosition="0"/>
    </format>
    <format dxfId="301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00">
      <pivotArea dataOnly="0" labelOnly="1" grandCol="1" outline="0" fieldPosition="0"/>
    </format>
    <format dxfId="299">
      <pivotArea type="origin" dataOnly="0" labelOnly="1" outline="0" fieldPosition="0"/>
    </format>
    <format dxfId="298">
      <pivotArea dataOnly="0" labelOnly="1" fieldPosition="0">
        <references count="1">
          <reference field="1" count="0"/>
        </references>
      </pivotArea>
    </format>
    <format dxfId="297">
      <pivotArea outline="0" collapsedLevelsAreSubtotals="1" fieldPosition="0"/>
    </format>
    <format dxfId="296">
      <pivotArea type="topRight" dataOnly="0" labelOnly="1" outline="0" fieldPosition="0"/>
    </format>
    <format dxfId="295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94">
      <pivotArea dataOnly="0" labelOnly="1" grandCol="1" outline="0" fieldPosition="0"/>
    </format>
    <format dxfId="293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92">
      <pivotArea dataOnly="0" labelOnly="1" grandCol="1" outline="0" fieldPosition="0"/>
    </format>
    <format dxfId="291">
      <pivotArea type="origin" dataOnly="0" labelOnly="1" outline="0" fieldPosition="0"/>
    </format>
    <format dxfId="290">
      <pivotArea dataOnly="0" labelOnly="1" fieldPosition="0">
        <references count="1">
          <reference field="1" count="0"/>
        </references>
      </pivotArea>
    </format>
    <format dxfId="289">
      <pivotArea dataOnly="0" labelOnly="1" fieldPosition="0">
        <references count="2">
          <reference field="1" count="1" selected="0">
            <x v="0"/>
          </reference>
          <reference field="2" count="1">
            <x v="10"/>
          </reference>
        </references>
      </pivotArea>
    </format>
    <format dxfId="288">
      <pivotArea dataOnly="0" labelOnly="1" fieldPosition="0">
        <references count="2">
          <reference field="1" count="1" selected="0">
            <x v="1"/>
          </reference>
          <reference field="2" count="2">
            <x v="9"/>
            <x v="24"/>
          </reference>
        </references>
      </pivotArea>
    </format>
    <format dxfId="287">
      <pivotArea dataOnly="0" labelOnly="1" fieldPosition="0">
        <references count="2">
          <reference field="1" count="1" selected="0">
            <x v="4"/>
          </reference>
          <reference field="2" count="8">
            <x v="1"/>
            <x v="3"/>
            <x v="6"/>
            <x v="7"/>
            <x v="8"/>
            <x v="18"/>
            <x v="27"/>
            <x v="28"/>
          </reference>
        </references>
      </pivotArea>
    </format>
    <format dxfId="286">
      <pivotArea dataOnly="0" labelOnly="1" fieldPosition="0">
        <references count="2">
          <reference field="1" count="1" selected="0">
            <x v="8"/>
          </reference>
          <reference field="2" count="8">
            <x v="10"/>
            <x v="12"/>
            <x v="14"/>
            <x v="15"/>
            <x v="21"/>
            <x v="22"/>
            <x v="23"/>
            <x v="25"/>
          </reference>
        </references>
      </pivotArea>
    </format>
    <format dxfId="285">
      <pivotArea outline="0" collapsedLevelsAreSubtotals="1" fieldPosition="0"/>
    </format>
    <format dxfId="284">
      <pivotArea type="topRight" dataOnly="0" labelOnly="1" outline="0" fieldPosition="0"/>
    </format>
    <format dxfId="283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82">
      <pivotArea dataOnly="0" labelOnly="1" grandCol="1" outline="0" fieldPosition="0"/>
    </format>
    <format dxfId="281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80">
      <pivotArea dataOnly="0" labelOnly="1" grandCol="1" outline="0" fieldPosition="0"/>
    </format>
    <format dxfId="279">
      <pivotArea type="origin" dataOnly="0" labelOnly="1" outline="0" fieldPosition="0"/>
    </format>
    <format dxfId="278">
      <pivotArea dataOnly="0" labelOnly="1" fieldPosition="0">
        <references count="1">
          <reference field="1" count="0"/>
        </references>
      </pivotArea>
    </format>
    <format dxfId="277">
      <pivotArea outline="0" collapsedLevelsAreSubtotals="1" fieldPosition="0"/>
    </format>
    <format dxfId="276">
      <pivotArea type="topRight" dataOnly="0" labelOnly="1" outline="0" fieldPosition="0"/>
    </format>
    <format dxfId="275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74">
      <pivotArea dataOnly="0" labelOnly="1" grandCol="1" outline="0" fieldPosition="0"/>
    </format>
    <format dxfId="273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72">
      <pivotArea dataOnly="0" labelOnly="1" grandCol="1" outline="0" fieldPosition="0"/>
    </format>
    <format dxfId="271">
      <pivotArea type="origin" dataOnly="0" labelOnly="1" outline="0" fieldPosition="0"/>
    </format>
    <format dxfId="270">
      <pivotArea dataOnly="0" labelOnly="1" fieldPosition="0">
        <references count="1">
          <reference field="1" count="0"/>
        </references>
      </pivotArea>
    </format>
    <format dxfId="269">
      <pivotArea outline="0" collapsedLevelsAreSubtotals="1" fieldPosition="0"/>
    </format>
    <format dxfId="268">
      <pivotArea type="topRight" dataOnly="0" labelOnly="1" outline="0" fieldPosition="0"/>
    </format>
    <format dxfId="267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66">
      <pivotArea dataOnly="0" labelOnly="1" grandCol="1" outline="0" fieldPosition="0"/>
    </format>
    <format dxfId="265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64">
      <pivotArea dataOnly="0" labelOnly="1" grandCol="1" outline="0" fieldPosition="0"/>
    </format>
    <format dxfId="263">
      <pivotArea type="origin" dataOnly="0" labelOnly="1" outline="0" fieldPosition="0"/>
    </format>
    <format dxfId="262">
      <pivotArea dataOnly="0" labelOnly="1" fieldPosition="0">
        <references count="1">
          <reference field="1" count="0"/>
        </references>
      </pivotArea>
    </format>
    <format dxfId="261">
      <pivotArea dataOnly="0" labelOnly="1" fieldPosition="0">
        <references count="2">
          <reference field="1" count="1" selected="0">
            <x v="0"/>
          </reference>
          <reference field="2" count="1">
            <x v="10"/>
          </reference>
        </references>
      </pivotArea>
    </format>
    <format dxfId="260">
      <pivotArea dataOnly="0" labelOnly="1" fieldPosition="0">
        <references count="2">
          <reference field="1" count="1" selected="0">
            <x v="1"/>
          </reference>
          <reference field="2" count="2">
            <x v="9"/>
            <x v="24"/>
          </reference>
        </references>
      </pivotArea>
    </format>
    <format dxfId="259">
      <pivotArea dataOnly="0" labelOnly="1" fieldPosition="0">
        <references count="2">
          <reference field="1" count="1" selected="0">
            <x v="4"/>
          </reference>
          <reference field="2" count="8">
            <x v="1"/>
            <x v="3"/>
            <x v="6"/>
            <x v="7"/>
            <x v="8"/>
            <x v="18"/>
            <x v="27"/>
            <x v="28"/>
          </reference>
        </references>
      </pivotArea>
    </format>
    <format dxfId="258">
      <pivotArea dataOnly="0" labelOnly="1" fieldPosition="0">
        <references count="2">
          <reference field="1" count="1" selected="0">
            <x v="8"/>
          </reference>
          <reference field="2" count="8">
            <x v="10"/>
            <x v="12"/>
            <x v="14"/>
            <x v="15"/>
            <x v="21"/>
            <x v="22"/>
            <x v="23"/>
            <x v="25"/>
          </reference>
        </references>
      </pivotArea>
    </format>
    <format dxfId="257">
      <pivotArea outline="0" collapsedLevelsAreSubtotals="1" fieldPosition="0"/>
    </format>
    <format dxfId="256">
      <pivotArea type="topRight" dataOnly="0" labelOnly="1" outline="0" fieldPosition="0"/>
    </format>
    <format dxfId="255">
      <pivotArea dataOnly="0" labelOnly="1" fieldPosition="0">
        <references count="1">
          <reference field="8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54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amica2" cacheId="7" applyNumberFormats="0" applyBorderFormats="0" applyFontFormats="0" applyPatternFormats="0" applyAlignmentFormats="0" applyWidthHeightFormats="1" dataCaption="Valores" grandTotalCaption="Ahorro" updatedVersion="6" minRefreshableVersion="3" itemPrintTitles="1" createdVersion="7" indent="0" showHeaders="0" outline="1" outlineData="1" multipleFieldFilters="0" chartFormat="1">
  <location ref="D8:Q9" firstHeaderRow="0" firstDataRow="1" firstDataCol="1"/>
  <pivotFields count="10">
    <pivotField numFmtId="14" showAll="0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m="1" x="59"/>
        <item m="1" x="58"/>
        <item m="1" x="60"/>
        <item t="default"/>
      </items>
    </pivotField>
    <pivotField showAll="0" sortType="ascending"/>
    <pivotField showAll="0"/>
    <pivotField dataField="1" showAll="0"/>
    <pivotField showAll="0"/>
    <pivotField showAll="0" sortType="ascending"/>
    <pivotField showAll="0">
      <items count="5">
        <item m="1" x="3"/>
        <item x="0"/>
        <item x="1"/>
        <item x="2"/>
        <item t="default"/>
      </items>
    </pivotField>
    <pivotField dragToRow="0" dragToCol="0" dragToPage="0" showAll="0" defaultSubtotal="0"/>
    <pivotField axis="axisCol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showAll="0">
      <items count="6">
        <item x="3"/>
        <item x="1"/>
        <item x="2"/>
        <item x="0"/>
        <item x="4"/>
        <item t="default"/>
      </items>
    </pivotField>
  </pivotFields>
  <rowItems count="1">
    <i/>
  </rowItems>
  <colFields count="1">
    <field x="8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a de Importe      ." fld="3" baseField="0" baseItem="0" numFmtId="165"/>
  </dataFields>
  <formats count="48">
    <format dxfId="427">
      <pivotArea type="origin" dataOnly="0" labelOnly="1" outline="0" fieldPosition="0"/>
    </format>
    <format dxfId="426">
      <pivotArea dataOnly="0" labelOnly="1" grandRow="1" outline="0" fieldPosition="0"/>
    </format>
    <format dxfId="425">
      <pivotArea type="topRight" dataOnly="0" labelOnly="1" outline="0" fieldPosition="0"/>
    </format>
    <format dxfId="424">
      <pivotArea dataOnly="0" labelOnly="1" grandCol="1" outline="0" fieldPosition="0"/>
    </format>
    <format dxfId="423">
      <pivotArea dataOnly="0" labelOnly="1" grandCol="1" outline="0" fieldPosition="0"/>
    </format>
    <format dxfId="422">
      <pivotArea dataOnly="0" labelOnly="1" grandCol="1" outline="0" fieldPosition="0"/>
    </format>
    <format dxfId="421">
      <pivotArea dataOnly="0" grandCol="1" outline="0" fieldPosition="0"/>
    </format>
    <format dxfId="420">
      <pivotArea dataOnly="0" labelOnly="1" grandCol="1" outline="0" fieldPosition="0"/>
    </format>
    <format dxfId="419">
      <pivotArea dataOnly="0" labelOnly="1" grandCol="1" outline="0" fieldPosition="0"/>
    </format>
    <format dxfId="418">
      <pivotArea dataOnly="0" labelOnly="1" outline="0" axis="axisValues" fieldPosition="0"/>
    </format>
    <format dxfId="417">
      <pivotArea type="origin" dataOnly="0" labelOnly="1" outline="0" fieldPosition="0"/>
    </format>
    <format dxfId="416">
      <pivotArea outline="0" collapsedLevelsAreSubtotals="1" fieldPosition="0"/>
    </format>
    <format dxfId="415">
      <pivotArea dataOnly="0" labelOnly="1" outline="0" axis="axisValues" fieldPosition="0"/>
    </format>
    <format dxfId="414">
      <pivotArea outline="0" collapsedLevelsAreSubtotals="1" fieldPosition="0"/>
    </format>
    <format dxfId="413">
      <pivotArea dataOnly="0" labelOnly="1" outline="0" axis="axisValues" fieldPosition="0"/>
    </format>
    <format dxfId="412">
      <pivotArea type="all" dataOnly="0" outline="0" fieldPosition="0"/>
    </format>
    <format dxfId="411">
      <pivotArea outline="0" collapsedLevelsAreSubtotals="1" fieldPosition="0"/>
    </format>
    <format dxfId="410">
      <pivotArea type="origin" dataOnly="0" labelOnly="1" outline="0" fieldPosition="0"/>
    </format>
    <format dxfId="409">
      <pivotArea dataOnly="0" labelOnly="1" outline="0" axis="axisValues" fieldPosition="0"/>
    </format>
    <format dxfId="408">
      <pivotArea outline="0" fieldPosition="0">
        <references count="1">
          <reference field="4294967294" count="1">
            <x v="0"/>
          </reference>
        </references>
      </pivotArea>
    </format>
    <format dxfId="407">
      <pivotArea type="all" dataOnly="0" outline="0" fieldPosition="0"/>
    </format>
    <format dxfId="406">
      <pivotArea type="origin" dataOnly="0" labelOnly="1" outline="0" fieldPosition="0"/>
    </format>
    <format dxfId="405">
      <pivotArea dataOnly="0" labelOnly="1" outline="0" axis="axisValues" fieldPosition="0"/>
    </format>
    <format dxfId="404">
      <pivotArea outline="0" collapsedLevelsAreSubtotals="1" fieldPosition="0"/>
    </format>
    <format dxfId="403">
      <pivotArea type="origin" dataOnly="0" labelOnly="1" outline="0" fieldPosition="0"/>
    </format>
    <format dxfId="402">
      <pivotArea type="origin" dataOnly="0" labelOnly="1" outline="0" fieldPosition="0"/>
    </format>
    <format dxfId="401">
      <pivotArea dataOnly="0" labelOnly="1" outline="0" axis="axisValues" fieldPosition="0"/>
    </format>
    <format dxfId="400">
      <pivotArea outline="0" collapsedLevelsAreSubtotals="1" fieldPosition="0"/>
    </format>
    <format dxfId="399">
      <pivotArea type="origin" dataOnly="0" labelOnly="1" outline="0" fieldPosition="0"/>
    </format>
    <format dxfId="398">
      <pivotArea type="origin" dataOnly="0" labelOnly="1" outline="0" fieldPosition="0"/>
    </format>
    <format dxfId="397">
      <pivotArea dataOnly="0" labelOnly="1" outline="0" axis="axisValues" fieldPosition="0"/>
    </format>
    <format dxfId="396">
      <pivotArea outline="0" collapsedLevelsAreSubtotals="1" fieldPosition="0"/>
    </format>
    <format dxfId="395">
      <pivotArea type="origin" dataOnly="0" labelOnly="1" outline="0" fieldPosition="0"/>
    </format>
    <format dxfId="394">
      <pivotArea type="origin" dataOnly="0" labelOnly="1" outline="0" fieldPosition="0"/>
    </format>
    <format dxfId="393">
      <pivotArea dataOnly="0" labelOnly="1" outline="0" axis="axisValues" fieldPosition="0"/>
    </format>
    <format dxfId="392">
      <pivotArea outline="0" collapsedLevelsAreSubtotals="1" fieldPosition="0"/>
    </format>
    <format dxfId="391">
      <pivotArea type="origin" dataOnly="0" labelOnly="1" outline="0" fieldPosition="0"/>
    </format>
    <format dxfId="390">
      <pivotArea type="origin" dataOnly="0" labelOnly="1" outline="0" fieldPosition="0"/>
    </format>
    <format dxfId="389">
      <pivotArea dataOnly="0" labelOnly="1" outline="0" axis="axisValues" fieldPosition="0"/>
    </format>
    <format dxfId="388">
      <pivotArea outline="0" collapsedLevelsAreSubtotals="1" fieldPosition="0"/>
    </format>
    <format dxfId="387">
      <pivotArea type="origin" dataOnly="0" labelOnly="1" outline="0" fieldPosition="0"/>
    </format>
    <format dxfId="386">
      <pivotArea type="origin" dataOnly="0" labelOnly="1" outline="0" fieldPosition="0"/>
    </format>
    <format dxfId="385">
      <pivotArea dataOnly="0" labelOnly="1" outline="0" axis="axisValues" fieldPosition="0"/>
    </format>
    <format dxfId="384">
      <pivotArea outline="0" collapsedLevelsAreSubtotals="1" fieldPosition="0"/>
    </format>
    <format dxfId="383">
      <pivotArea type="origin" dataOnly="0" labelOnly="1" outline="0" fieldPosition="0"/>
    </format>
    <format dxfId="382">
      <pivotArea type="origin" dataOnly="0" labelOnly="1" outline="0" fieldPosition="0"/>
    </format>
    <format dxfId="381">
      <pivotArea dataOnly="0" labelOnly="1" outline="0" axis="axisValues" fieldPosition="0"/>
    </format>
    <format dxfId="380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Dinamica2" cacheId="7" applyNumberFormats="0" applyBorderFormats="0" applyFontFormats="0" applyPatternFormats="0" applyAlignmentFormats="0" applyWidthHeightFormats="1" dataCaption="Valores" updatedVersion="6" minRefreshableVersion="3" itemPrintTitles="1" createdVersion="7" indent="0" multipleFieldFilters="0" chartFormat="13">
  <location ref="M6:N10" firstHeaderRow="1" firstDataRow="1" firstDataCol="1"/>
  <pivotFields count="10">
    <pivotField numFmtId="14" showAll="0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m="1" x="59"/>
        <item m="1" x="58"/>
        <item m="1" x="60"/>
        <item t="default"/>
      </items>
    </pivotField>
    <pivotField showAll="0">
      <items count="14">
        <item x="0"/>
        <item x="3"/>
        <item m="1" x="10"/>
        <item m="1" x="6"/>
        <item x="1"/>
        <item m="1" x="7"/>
        <item m="1" x="5"/>
        <item m="1" x="11"/>
        <item x="2"/>
        <item m="1" x="12"/>
        <item m="1" x="8"/>
        <item m="1" x="9"/>
        <item m="1" x="4"/>
        <item t="default"/>
      </items>
    </pivotField>
    <pivotField showAll="0"/>
    <pivotField dataField="1" numFmtId="164" showAll="0"/>
    <pivotField showAll="0"/>
    <pivotField showAll="0"/>
    <pivotField showAll="0">
      <items count="5">
        <item h="1" m="1" x="3"/>
        <item x="0"/>
        <item h="1" x="1"/>
        <item h="1" x="2"/>
        <item t="default"/>
      </items>
    </pivotField>
    <pivotField dragToRow="0" dragToCol="0" dragToPage="0" showAll="0" defaultSubtota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axis="axisRow" showAll="0">
      <items count="6">
        <item x="3"/>
        <item x="1"/>
        <item x="2"/>
        <item x="0"/>
        <item x="4"/>
        <item t="default"/>
      </items>
    </pivotField>
  </pivotFields>
  <rowFields count="2">
    <field x="9"/>
    <field x="8"/>
  </rowFields>
  <rowItems count="4">
    <i>
      <x v="1"/>
    </i>
    <i r="1">
      <x v="11"/>
    </i>
    <i r="1">
      <x v="12"/>
    </i>
    <i t="grand">
      <x/>
    </i>
  </rowItems>
  <colItems count="1">
    <i/>
  </colItems>
  <dataFields count="1">
    <dataField name="Suma de Importe      ." fld="3" baseField="0" baseItem="0"/>
  </dataFields>
  <chartFormats count="3">
    <chartFormat chart="5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Dinamica1" cacheId="7" applyNumberFormats="0" applyBorderFormats="0" applyFontFormats="0" applyPatternFormats="0" applyAlignmentFormats="0" applyWidthHeightFormats="1" dataCaption="Valores" updatedVersion="6" minRefreshableVersion="3" itemPrintTitles="1" createdVersion="7" indent="0" multipleFieldFilters="0" chartFormat="10">
  <location ref="U6:V19" firstHeaderRow="1" firstDataRow="1" firstDataCol="1"/>
  <pivotFields count="10">
    <pivotField numFmtId="14" showAll="0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m="1" x="59"/>
        <item m="1" x="58"/>
        <item m="1" x="60"/>
        <item t="default"/>
      </items>
    </pivotField>
    <pivotField showAll="0">
      <items count="14">
        <item x="0"/>
        <item x="3"/>
        <item m="1" x="10"/>
        <item m="1" x="6"/>
        <item x="1"/>
        <item m="1" x="7"/>
        <item m="1" x="5"/>
        <item m="1" x="11"/>
        <item x="2"/>
        <item m="1" x="12"/>
        <item m="1" x="8"/>
        <item m="1" x="9"/>
        <item m="1" x="4"/>
        <item t="default"/>
      </items>
    </pivotField>
    <pivotField axis="axisRow" showAll="0">
      <items count="30">
        <item m="1" x="23"/>
        <item x="8"/>
        <item m="1" x="21"/>
        <item x="14"/>
        <item m="1" x="28"/>
        <item m="1" x="24"/>
        <item x="4"/>
        <item x="15"/>
        <item m="1" x="19"/>
        <item x="11"/>
        <item m="1" x="22"/>
        <item x="16"/>
        <item m="1" x="25"/>
        <item x="2"/>
        <item x="5"/>
        <item x="7"/>
        <item x="1"/>
        <item x="3"/>
        <item x="0"/>
        <item m="1" x="20"/>
        <item x="9"/>
        <item m="1" x="27"/>
        <item x="12"/>
        <item m="1" x="26"/>
        <item x="6"/>
        <item x="10"/>
        <item m="1" x="18"/>
        <item x="13"/>
        <item x="17"/>
        <item t="default"/>
      </items>
    </pivotField>
    <pivotField dataField="1" numFmtId="164" showAll="0"/>
    <pivotField showAll="0"/>
    <pivotField showAll="0"/>
    <pivotField showAll="0">
      <items count="5">
        <item h="1" m="1" x="3"/>
        <item x="0"/>
        <item h="1" x="1"/>
        <item h="1" x="2"/>
        <item t="default"/>
      </items>
    </pivotField>
    <pivotField dragToRow="0" dragToCol="0" dragToPage="0" showAll="0" defaultSubtotal="0"/>
    <pivotField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>
      <items count="6">
        <item x="3"/>
        <item x="1"/>
        <item x="2"/>
        <item x="0"/>
        <item x="4"/>
        <item t="default"/>
      </items>
    </pivotField>
  </pivotFields>
  <rowFields count="1">
    <field x="2"/>
  </rowFields>
  <rowItems count="13">
    <i>
      <x v="1"/>
    </i>
    <i>
      <x v="6"/>
    </i>
    <i>
      <x v="9"/>
    </i>
    <i>
      <x v="13"/>
    </i>
    <i>
      <x v="14"/>
    </i>
    <i>
      <x v="15"/>
    </i>
    <i>
      <x v="16"/>
    </i>
    <i>
      <x v="17"/>
    </i>
    <i>
      <x v="18"/>
    </i>
    <i>
      <x v="20"/>
    </i>
    <i>
      <x v="24"/>
    </i>
    <i>
      <x v="25"/>
    </i>
    <i t="grand">
      <x/>
    </i>
  </rowItems>
  <colItems count="1">
    <i/>
  </colItems>
  <dataFields count="1">
    <dataField name="Promedio de Importe      ." fld="3" subtotal="average" baseField="2" baseItem="25"/>
  </dataFields>
  <chartFormats count="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d_SaldoInvertido" cacheId="7" applyNumberFormats="0" applyBorderFormats="0" applyFontFormats="0" applyPatternFormats="0" applyAlignmentFormats="0" applyWidthHeightFormats="1" dataCaption="Valores" updatedVersion="6" minRefreshableVersion="3" itemPrintTitles="1" createdVersion="7" indent="0" multipleFieldFilters="0" chartFormat="10">
  <location ref="E6:F10" firstHeaderRow="1" firstDataRow="1" firstDataCol="1"/>
  <pivotFields count="10">
    <pivotField numFmtId="14" showAll="0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m="1" x="59"/>
        <item m="1" x="58"/>
        <item m="1" x="60"/>
        <item t="default"/>
      </items>
    </pivotField>
    <pivotField showAll="0">
      <items count="14">
        <item x="0"/>
        <item x="3"/>
        <item m="1" x="10"/>
        <item m="1" x="6"/>
        <item x="1"/>
        <item m="1" x="7"/>
        <item m="1" x="5"/>
        <item m="1" x="11"/>
        <item x="2"/>
        <item m="1" x="12"/>
        <item m="1" x="8"/>
        <item m="1" x="9"/>
        <item m="1" x="4"/>
        <item t="default"/>
      </items>
    </pivotField>
    <pivotField showAll="0"/>
    <pivotField dataField="1" numFmtId="164" showAll="0"/>
    <pivotField showAll="0"/>
    <pivotField showAll="0"/>
    <pivotField showAll="0">
      <items count="5">
        <item h="1" m="1" x="3"/>
        <item x="0"/>
        <item h="1" x="1"/>
        <item h="1" x="2"/>
        <item t="default"/>
      </items>
    </pivotField>
    <pivotField dragToRow="0" dragToCol="0" dragToPage="0" showAll="0" defaultSubtota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axis="axisRow" showAll="0">
      <items count="6">
        <item x="3"/>
        <item x="1"/>
        <item x="2"/>
        <item x="0"/>
        <item x="4"/>
        <item t="default"/>
      </items>
    </pivotField>
  </pivotFields>
  <rowFields count="2">
    <field x="9"/>
    <field x="8"/>
  </rowFields>
  <rowItems count="4">
    <i>
      <x v="1"/>
    </i>
    <i r="1">
      <x v="11"/>
    </i>
    <i r="1">
      <x v="12"/>
    </i>
    <i t="grand">
      <x/>
    </i>
  </rowItems>
  <colItems count="1">
    <i/>
  </colItems>
  <dataFields count="1">
    <dataField name="Suma de Importe      ." fld="3" baseField="0" baseItem="0"/>
  </dataFields>
  <chartFormats count="1">
    <chartFormat chart="5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onDeDatos_Tipo_de_movimiento" sourceName="Tipo de movimiento">
  <pivotTables>
    <pivotTable tabId="6" name="td_SaldoInvertido"/>
    <pivotTable tabId="6" name="TablaDinamica1"/>
    <pivotTable tabId="6" name="TablaDinamica2"/>
  </pivotTables>
  <data>
    <tabular pivotCacheId="1878191589">
      <items count="13">
        <i x="0" s="1"/>
        <i x="3" s="1"/>
        <i x="1" s="1"/>
        <i x="2" s="1"/>
        <i x="10" s="1" nd="1"/>
        <i x="6" s="1" nd="1"/>
        <i x="7" s="1" nd="1"/>
        <i x="5" s="1" nd="1"/>
        <i x="11" s="1" nd="1"/>
        <i x="12" s="1" nd="1"/>
        <i x="8" s="1" nd="1"/>
        <i x="9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onDeDatos_Fecha" sourceName="Meses (Fecha)">
  <pivotTables>
    <pivotTable tabId="6" name="td_SaldoInvertido"/>
    <pivotTable tabId="6" name="TablaDinamica2"/>
    <pivotTable tabId="6" name="TablaDinamica1"/>
  </pivotTables>
  <data>
    <tabular pivotCacheId="1878191589">
      <items count="14">
        <i x="11" s="1"/>
        <i x="12" s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0" nd="1"/>
        <i x="1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onDeDatos_Ano1" sourceName="Año">
  <pivotTables>
    <pivotTable tabId="6" name="td_SaldoInvertido"/>
    <pivotTable tabId="6" name="TablaDinamica2"/>
    <pivotTable tabId="6" name="TablaDinamica1"/>
  </pivotTables>
  <data>
    <tabular pivotCacheId="1878191589">
      <items count="4">
        <i x="0" s="1"/>
        <i x="1"/>
        <i x="2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onDeDatos_Ano2" sourceName="Año">
  <pivotTables>
    <pivotTable tabId="4" name="TablaDinamica1"/>
    <pivotTable tabId="4" name="TablaDinamica2"/>
    <pivotTable tabId="4" name="TablaDinamica3"/>
  </pivotTables>
  <data>
    <tabular pivotCacheId="1878191589">
      <items count="4">
        <i x="0" s="1"/>
        <i x="1" s="1"/>
        <i x="2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onDeDatos_Meses__Fecha" sourceName="Meses (Fecha)">
  <pivotTables>
    <pivotTable tabId="4" name="TablaDinamica2"/>
    <pivotTable tabId="4" name="TablaDinamica1"/>
    <pivotTable tabId="4" name="TablaDinamica3"/>
  </pivotTables>
  <data>
    <tabular pivotCacheId="1878191589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onDeDatos_Tipo_de_movimiento1" sourceName="Tipo de movimiento">
  <extLst>
    <x:ext xmlns:x15="http://schemas.microsoft.com/office/spreadsheetml/2010/11/main" uri="{2F2917AC-EB37-4324-AD4E-5DD8C200BD13}">
      <x15:tableSlicerCache tableId="1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onDeDatos_Ingreso_o_gasto1" sourceName="Ingreso o gasto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onDeDatos_Ano_Mes1" sourceName="Year-Month">
  <extLst>
    <x:ext xmlns:x15="http://schemas.microsoft.com/office/spreadsheetml/2010/11/main" uri="{2F2917AC-EB37-4324-AD4E-5DD8C200BD13}">
      <x15:tableSlicerCache tableId="1" column="6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onDeDatos_Ano" sourceName="Año">
  <extLst>
    <x:ext xmlns:x15="http://schemas.microsoft.com/office/spreadsheetml/2010/11/main" uri="{2F2917AC-EB37-4324-AD4E-5DD8C200BD13}">
      <x15:tableSlicerCache tableId="1" column="8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ipo de movimiento 1" cache="SegmentacionDeDatos_Tipo_de_movimiento1" caption="Tipo de movimiento" showCaption="0" style="SlicerStyleLight5" rowHeight="180000"/>
  <slicer name="Ingreso o gasto 1" cache="SegmentacionDeDatos_Ingreso_o_gasto1" caption="Ingreso o gasto" showCaption="0" style="SlicerStyleLight5" rowHeight="144000"/>
  <slicer name="Año-Mes 1" cache="SegmentacionDeDatos_Ano_Mes1" caption="Year-Month" columnCount="12" showCaption="0" style="SlicerStyleLight5" rowHeight="234950"/>
  <slicer name="Año" cache="SegmentacionDeDatos_Ano" caption="Año" showCaption="0" style="SlicerStyleLight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ño 2" cache="SegmentacionDeDatos_Ano2" caption="Año" showCaption="0" style="SlicerStyleLight5" rowHeight="234950"/>
  <slicer name="Meses (Fecha)" cache="SegmentacionDeDatos_Meses__Fecha" caption="Meses (Fecha)" columnCount="12" showCaption="0" style="SlicerStyleLight5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ipo de movimiento" cache="SegmentacionDeDatos_Tipo_de_movimiento" caption="Tipo de movimiento" showCaption="0" style="SlicerStyleLight5" rowHeight="234950"/>
  <slicer name="Fecha" cache="SegmentacionDeDatos_Fecha" caption="Fecha" columnCount="12" showCaption="0" style="SlicerStyleLight5" rowHeight="234950"/>
  <slicer name="Año 1" cache="SegmentacionDeDatos_Ano1" caption="Año" showCaption="0" style="SlicerStyleLight5" rowHeight="234950"/>
</slicers>
</file>

<file path=xl/tables/table1.xml><?xml version="1.0" encoding="utf-8"?>
<table xmlns="http://schemas.openxmlformats.org/spreadsheetml/2006/main" id="2" name="tbl_ingresosGastos" displayName="tbl_ingresosGastos" ref="H10:I33" totalsRowShown="0" headerRowDxfId="449" dataDxfId="448">
  <autoFilter ref="H10:I33"/>
  <sortState ref="H11:I33">
    <sortCondition ref="H10:H33"/>
  </sortState>
  <tableColumns count="2">
    <tableColumn id="2" name="Ingresos y gastos" dataDxfId="447"/>
    <tableColumn id="1" name="Seg" dataDxfId="446">
      <calculatedColumnFormula>IF(ISERROR(VLOOKUP(tbl_ingresosGastos[[#This Row],[Ingresos y gastos]],tbl_diario[Ingreso o gasto],1,FALSE)),"Modificable","No modificar")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4" name="tbl_tipoMovimiento" displayName="tbl_tipoMovimiento" ref="E10:F16" totalsRowShown="0" headerRowDxfId="445" dataDxfId="444">
  <autoFilter ref="E10:F16"/>
  <tableColumns count="2">
    <tableColumn id="1" name="Categ. de ingresos o gastos" dataDxfId="443"/>
    <tableColumn id="2" name="Seg" dataDxfId="442">
      <calculatedColumnFormula>IF(ISERROR(VLOOKUP(tbl_tipoMovimiento[[#This Row],[Categ. de ingresos o gastos]],tbl_diario[Tipo de movimiento],1,FALSE)),"Modificable","No modificar")</calculatedColumnFormula>
    </tableColumn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3" name="tbl_meses" displayName="tbl_meses" ref="L10:M22" totalsRowShown="0" headerRowDxfId="441" dataDxfId="440">
  <autoFilter ref="L10:M22"/>
  <tableColumns count="2">
    <tableColumn id="1" name="Nmes" dataDxfId="439"/>
    <tableColumn id="2" name="Meses" dataDxfId="438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" name="tbl_diario" displayName="tbl_diario" ref="D5:J178" totalsRowShown="0" tableBorderDxfId="437">
  <autoFilter ref="D5:J178"/>
  <tableColumns count="7">
    <tableColumn id="5" name="Fecha" dataDxfId="436" totalsRowDxfId="435"/>
    <tableColumn id="1" name="Tipo de movimiento"/>
    <tableColumn id="2" name="Ingreso o gasto" dataDxfId="434" totalsRowDxfId="433"/>
    <tableColumn id="3" name="Importe      ." dataDxfId="432" totalsRowDxfId="431"/>
    <tableColumn id="4" name="Observaciones"/>
    <tableColumn id="6" name="Year-Month" dataDxfId="430" totalsRowDxfId="429">
      <calculatedColumnFormula>TEXT(tbl_diario[[#This Row],[Fecha]],"mmm")</calculatedColumnFormula>
    </tableColumn>
    <tableColumn id="8" name="Año" dataDxfId="428">
      <calculatedColumnFormula>YEAR(tbl_diario[[#This Row],[Fecha]])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2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59999389629810485"/>
  </sheetPr>
  <dimension ref="A1:AQ188"/>
  <sheetViews>
    <sheetView showGridLines="0" topLeftCell="A16" zoomScale="110" zoomScaleNormal="110" workbookViewId="0">
      <selection activeCell="F31" sqref="F31"/>
    </sheetView>
  </sheetViews>
  <sheetFormatPr baseColWidth="10" defaultRowHeight="14.4" x14ac:dyDescent="0.3"/>
  <cols>
    <col min="1" max="1" width="0.6640625" customWidth="1"/>
    <col min="2" max="2" width="27.77734375" customWidth="1"/>
    <col min="3" max="3" width="1.33203125" customWidth="1"/>
    <col min="4" max="4" width="1.77734375" customWidth="1"/>
  </cols>
  <sheetData>
    <row r="1" spans="1:43" s="4" customFormat="1" ht="24.45" customHeight="1" x14ac:dyDescent="0.45">
      <c r="A1" s="42"/>
      <c r="B1" s="40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</row>
    <row r="2" spans="1:43" ht="21" customHeight="1" x14ac:dyDescent="0.3">
      <c r="A2" s="43"/>
      <c r="B2" s="43"/>
      <c r="C2" s="43"/>
      <c r="D2" s="43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</row>
    <row r="3" spans="1:43" ht="15" customHeight="1" x14ac:dyDescent="0.3">
      <c r="A3" s="43"/>
      <c r="B3" s="43"/>
      <c r="C3" s="43"/>
      <c r="D3" s="43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</row>
    <row r="4" spans="1:43" ht="15" customHeight="1" x14ac:dyDescent="0.3">
      <c r="A4" s="43"/>
      <c r="B4" s="43"/>
      <c r="C4" s="43"/>
      <c r="D4" s="43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</row>
    <row r="5" spans="1:43" ht="15" customHeight="1" x14ac:dyDescent="0.3">
      <c r="A5" s="43"/>
      <c r="B5" s="43"/>
      <c r="C5" s="43"/>
      <c r="D5" s="43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</row>
    <row r="6" spans="1:43" ht="15" customHeight="1" x14ac:dyDescent="0.3">
      <c r="A6" s="43"/>
      <c r="B6" s="43"/>
      <c r="C6" s="43"/>
      <c r="D6" s="43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</row>
    <row r="7" spans="1:43" ht="15" customHeight="1" x14ac:dyDescent="0.3">
      <c r="A7" s="43"/>
      <c r="B7" s="43"/>
      <c r="C7" s="43"/>
      <c r="D7" s="43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</row>
    <row r="8" spans="1:43" ht="15" customHeight="1" x14ac:dyDescent="0.3">
      <c r="A8" s="43"/>
      <c r="B8" s="43"/>
      <c r="C8" s="43"/>
      <c r="D8" s="43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</row>
    <row r="9" spans="1:43" ht="15" customHeight="1" x14ac:dyDescent="0.3">
      <c r="A9" s="43"/>
      <c r="B9" s="43"/>
      <c r="C9" s="43"/>
      <c r="D9" s="43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</row>
    <row r="10" spans="1:43" ht="15" customHeight="1" x14ac:dyDescent="0.3">
      <c r="A10" s="43"/>
      <c r="B10" s="43"/>
      <c r="C10" s="43"/>
      <c r="D10" s="43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</row>
    <row r="11" spans="1:43" ht="15" customHeight="1" x14ac:dyDescent="0.3">
      <c r="A11" s="43"/>
      <c r="B11" s="43"/>
      <c r="C11" s="43"/>
      <c r="D11" s="43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</row>
    <row r="12" spans="1:43" ht="15" customHeight="1" x14ac:dyDescent="0.3">
      <c r="A12" s="43"/>
      <c r="B12" s="43"/>
      <c r="C12" s="43"/>
      <c r="D12" s="43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</row>
    <row r="13" spans="1:43" ht="15" customHeight="1" x14ac:dyDescent="0.3">
      <c r="A13" s="43"/>
      <c r="B13" s="43"/>
      <c r="C13" s="43"/>
      <c r="D13" s="43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</row>
    <row r="14" spans="1:43" ht="15" customHeight="1" x14ac:dyDescent="0.3">
      <c r="A14" s="43"/>
      <c r="B14" s="43"/>
      <c r="C14" s="43"/>
      <c r="D14" s="43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</row>
    <row r="15" spans="1:43" ht="15" customHeight="1" x14ac:dyDescent="0.3">
      <c r="A15" s="43"/>
      <c r="B15" s="43"/>
      <c r="C15" s="43"/>
      <c r="D15" s="43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</row>
    <row r="16" spans="1:43" ht="15" customHeight="1" x14ac:dyDescent="0.3">
      <c r="A16" s="43"/>
      <c r="B16" s="43"/>
      <c r="C16" s="43"/>
      <c r="D16" s="43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</row>
    <row r="17" spans="1:43" ht="15" customHeight="1" x14ac:dyDescent="0.3">
      <c r="A17" s="43"/>
      <c r="B17" s="43"/>
      <c r="C17" s="43"/>
      <c r="D17" s="43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</row>
    <row r="18" spans="1:43" ht="15" customHeight="1" x14ac:dyDescent="0.3">
      <c r="A18" s="43"/>
      <c r="B18" s="43"/>
      <c r="C18" s="43"/>
      <c r="D18" s="43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</row>
    <row r="19" spans="1:43" ht="15" customHeight="1" x14ac:dyDescent="0.3">
      <c r="A19" s="43"/>
      <c r="B19" s="43"/>
      <c r="C19" s="43"/>
      <c r="D19" s="43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</row>
    <row r="20" spans="1:43" x14ac:dyDescent="0.3">
      <c r="A20" s="43"/>
      <c r="B20" s="43"/>
      <c r="C20" s="43"/>
      <c r="D20" s="43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</row>
    <row r="21" spans="1:43" x14ac:dyDescent="0.3">
      <c r="A21" s="43"/>
      <c r="B21" s="43"/>
      <c r="C21" s="43"/>
      <c r="D21" s="43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</row>
    <row r="22" spans="1:43" x14ac:dyDescent="0.3">
      <c r="A22" s="43"/>
      <c r="B22" s="43"/>
      <c r="C22" s="43"/>
      <c r="D22" s="4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</row>
    <row r="23" spans="1:43" x14ac:dyDescent="0.3">
      <c r="A23" s="43"/>
      <c r="B23" s="43"/>
      <c r="C23" s="43"/>
      <c r="D23" s="43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</row>
    <row r="24" spans="1:43" x14ac:dyDescent="0.3">
      <c r="A24" s="43"/>
      <c r="B24" s="43"/>
      <c r="C24" s="43"/>
      <c r="D24" s="43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</row>
    <row r="25" spans="1:43" x14ac:dyDescent="0.3">
      <c r="A25" s="43"/>
      <c r="B25" s="43"/>
      <c r="C25" s="43"/>
      <c r="D25" s="43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</row>
    <row r="26" spans="1:43" x14ac:dyDescent="0.3">
      <c r="A26" s="43"/>
      <c r="B26" s="43"/>
      <c r="C26" s="43"/>
      <c r="D26" s="43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</row>
    <row r="27" spans="1:43" x14ac:dyDescent="0.3">
      <c r="A27" s="43"/>
      <c r="B27" s="43"/>
      <c r="C27" s="43"/>
      <c r="D27" s="43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</row>
    <row r="28" spans="1:43" x14ac:dyDescent="0.3">
      <c r="A28" s="43"/>
      <c r="B28" s="43"/>
      <c r="C28" s="43"/>
      <c r="D28" s="43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</row>
    <row r="29" spans="1:43" x14ac:dyDescent="0.3">
      <c r="A29" s="43"/>
      <c r="B29" s="43"/>
      <c r="C29" s="43"/>
      <c r="D29" s="43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</row>
    <row r="30" spans="1:43" x14ac:dyDescent="0.3">
      <c r="A30" s="43"/>
      <c r="B30" s="43"/>
      <c r="C30" s="43"/>
      <c r="D30" s="43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</row>
    <row r="31" spans="1:43" x14ac:dyDescent="0.3">
      <c r="A31" s="43"/>
      <c r="B31" s="43"/>
      <c r="C31" s="43"/>
      <c r="D31" s="43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</row>
    <row r="32" spans="1:43" x14ac:dyDescent="0.3">
      <c r="A32" s="43"/>
      <c r="B32" s="43"/>
      <c r="C32" s="43"/>
      <c r="D32" s="43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</row>
    <row r="33" spans="1:43" x14ac:dyDescent="0.3">
      <c r="A33" s="43"/>
      <c r="B33" s="43"/>
      <c r="C33" s="43"/>
      <c r="D33" s="43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</row>
    <row r="34" spans="1:43" x14ac:dyDescent="0.3">
      <c r="A34" s="43"/>
      <c r="B34" s="43"/>
      <c r="C34" s="43"/>
      <c r="D34" s="43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</row>
    <row r="35" spans="1:43" x14ac:dyDescent="0.3">
      <c r="A35" s="43"/>
      <c r="B35" s="43"/>
      <c r="C35" s="43"/>
      <c r="D35" s="43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</row>
    <row r="36" spans="1:43" x14ac:dyDescent="0.3">
      <c r="A36" s="43"/>
      <c r="B36" s="43"/>
      <c r="C36" s="43"/>
      <c r="D36" s="43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</row>
    <row r="37" spans="1:43" x14ac:dyDescent="0.3">
      <c r="A37" s="43"/>
      <c r="B37" s="43"/>
      <c r="C37" s="43"/>
      <c r="D37" s="43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</row>
    <row r="38" spans="1:43" x14ac:dyDescent="0.3">
      <c r="A38" s="43"/>
      <c r="B38" s="43"/>
      <c r="C38" s="43"/>
      <c r="D38" s="43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</row>
    <row r="39" spans="1:43" x14ac:dyDescent="0.3">
      <c r="A39" s="43"/>
      <c r="B39" s="43"/>
      <c r="C39" s="43"/>
      <c r="D39" s="43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</row>
    <row r="40" spans="1:43" x14ac:dyDescent="0.3">
      <c r="A40" s="43"/>
      <c r="B40" s="43"/>
      <c r="C40" s="43"/>
      <c r="D40" s="43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</row>
    <row r="41" spans="1:43" x14ac:dyDescent="0.3">
      <c r="A41" s="43"/>
      <c r="B41" s="43"/>
      <c r="C41" s="43"/>
      <c r="D41" s="43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</row>
    <row r="42" spans="1:43" x14ac:dyDescent="0.3">
      <c r="A42" s="43"/>
      <c r="B42" s="43"/>
      <c r="C42" s="43"/>
      <c r="D42" s="43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</row>
    <row r="43" spans="1:43" x14ac:dyDescent="0.3">
      <c r="A43" s="43"/>
      <c r="B43" s="43"/>
      <c r="C43" s="43"/>
      <c r="D43" s="43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</row>
    <row r="44" spans="1:43" x14ac:dyDescent="0.3">
      <c r="A44" s="43"/>
      <c r="B44" s="43"/>
      <c r="C44" s="43"/>
      <c r="D44" s="43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</row>
    <row r="45" spans="1:43" x14ac:dyDescent="0.3">
      <c r="A45" s="43"/>
      <c r="B45" s="43"/>
      <c r="C45" s="43"/>
      <c r="D45" s="43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</row>
    <row r="46" spans="1:43" x14ac:dyDescent="0.3">
      <c r="A46" s="43"/>
      <c r="B46" s="43"/>
      <c r="C46" s="43"/>
      <c r="D46" s="43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</row>
    <row r="47" spans="1:43" x14ac:dyDescent="0.3">
      <c r="A47" s="43"/>
      <c r="B47" s="43"/>
      <c r="C47" s="43"/>
      <c r="D47" s="43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</row>
    <row r="48" spans="1:43" x14ac:dyDescent="0.3">
      <c r="A48" s="43"/>
      <c r="B48" s="43"/>
      <c r="C48" s="43"/>
      <c r="D48" s="43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</row>
    <row r="49" spans="1:43" x14ac:dyDescent="0.3">
      <c r="A49" s="43"/>
      <c r="B49" s="43"/>
      <c r="C49" s="43"/>
      <c r="D49" s="43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</row>
    <row r="50" spans="1:43" x14ac:dyDescent="0.3">
      <c r="A50" s="43"/>
      <c r="B50" s="43"/>
      <c r="C50" s="43"/>
      <c r="D50" s="43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</row>
    <row r="51" spans="1:43" x14ac:dyDescent="0.3">
      <c r="A51" s="43"/>
      <c r="B51" s="43"/>
      <c r="C51" s="43"/>
      <c r="D51" s="4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</row>
    <row r="52" spans="1:43" x14ac:dyDescent="0.3">
      <c r="A52" s="43"/>
      <c r="B52" s="43"/>
      <c r="C52" s="43"/>
      <c r="D52" s="43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</row>
    <row r="53" spans="1:43" x14ac:dyDescent="0.3">
      <c r="A53" s="43"/>
      <c r="B53" s="43"/>
      <c r="C53" s="43"/>
      <c r="D53" s="43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</row>
    <row r="54" spans="1:43" x14ac:dyDescent="0.3">
      <c r="A54" s="43"/>
      <c r="B54" s="43"/>
      <c r="C54" s="43"/>
      <c r="D54" s="43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</row>
    <row r="55" spans="1:43" x14ac:dyDescent="0.3">
      <c r="A55" s="43"/>
      <c r="B55" s="43"/>
      <c r="C55" s="43"/>
      <c r="D55" s="43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</row>
    <row r="56" spans="1:43" x14ac:dyDescent="0.3">
      <c r="A56" s="43"/>
      <c r="B56" s="43"/>
      <c r="C56" s="43"/>
      <c r="D56" s="43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</row>
    <row r="57" spans="1:43" x14ac:dyDescent="0.3">
      <c r="A57" s="43"/>
      <c r="B57" s="43"/>
      <c r="C57" s="43"/>
      <c r="D57" s="43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</row>
    <row r="58" spans="1:43" x14ac:dyDescent="0.3">
      <c r="A58" s="43"/>
      <c r="B58" s="43"/>
      <c r="C58" s="43"/>
      <c r="D58" s="43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</row>
    <row r="59" spans="1:43" x14ac:dyDescent="0.3">
      <c r="A59" s="43"/>
      <c r="B59" s="43"/>
      <c r="C59" s="43"/>
      <c r="D59" s="43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</row>
    <row r="60" spans="1:43" x14ac:dyDescent="0.3">
      <c r="A60" s="43"/>
      <c r="B60" s="43"/>
      <c r="C60" s="43"/>
      <c r="D60" s="43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</row>
    <row r="61" spans="1:43" x14ac:dyDescent="0.3">
      <c r="A61" s="43"/>
      <c r="B61" s="43"/>
      <c r="C61" s="43"/>
      <c r="D61" s="43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</row>
    <row r="62" spans="1:43" x14ac:dyDescent="0.3">
      <c r="A62" s="43"/>
      <c r="B62" s="43"/>
      <c r="C62" s="43"/>
      <c r="D62" s="43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</row>
    <row r="63" spans="1:43" x14ac:dyDescent="0.3">
      <c r="A63" s="43"/>
      <c r="B63" s="43"/>
      <c r="C63" s="43"/>
      <c r="D63" s="43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</row>
    <row r="64" spans="1:43" x14ac:dyDescent="0.3">
      <c r="A64" s="43"/>
      <c r="B64" s="43"/>
      <c r="C64" s="43"/>
      <c r="D64" s="43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</row>
    <row r="65" spans="1:43" x14ac:dyDescent="0.3">
      <c r="A65" s="43"/>
      <c r="B65" s="43"/>
      <c r="C65" s="43"/>
      <c r="D65" s="43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</row>
    <row r="66" spans="1:43" x14ac:dyDescent="0.3">
      <c r="A66" s="43"/>
      <c r="B66" s="43"/>
      <c r="C66" s="43"/>
      <c r="D66" s="43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</row>
    <row r="67" spans="1:43" x14ac:dyDescent="0.3">
      <c r="A67" s="43"/>
      <c r="B67" s="43"/>
      <c r="C67" s="43"/>
      <c r="D67" s="43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</row>
    <row r="68" spans="1:43" x14ac:dyDescent="0.3">
      <c r="A68" s="43"/>
      <c r="B68" s="43"/>
      <c r="C68" s="43"/>
      <c r="D68" s="43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</row>
    <row r="69" spans="1:43" x14ac:dyDescent="0.3">
      <c r="A69" s="43"/>
      <c r="B69" s="43"/>
      <c r="C69" s="43"/>
      <c r="D69" s="43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</row>
    <row r="70" spans="1:43" x14ac:dyDescent="0.3">
      <c r="A70" s="43"/>
      <c r="B70" s="43"/>
      <c r="C70" s="43"/>
      <c r="D70" s="43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</row>
    <row r="71" spans="1:43" x14ac:dyDescent="0.3">
      <c r="A71" s="43"/>
      <c r="B71" s="43"/>
      <c r="C71" s="43"/>
      <c r="D71" s="43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</row>
    <row r="72" spans="1:43" x14ac:dyDescent="0.3">
      <c r="A72" s="43"/>
      <c r="B72" s="43"/>
      <c r="C72" s="43"/>
      <c r="D72" s="43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</row>
    <row r="73" spans="1:43" x14ac:dyDescent="0.3">
      <c r="A73" s="43"/>
      <c r="B73" s="43"/>
      <c r="C73" s="43"/>
      <c r="D73" s="43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</row>
    <row r="74" spans="1:43" x14ac:dyDescent="0.3">
      <c r="A74" s="43"/>
      <c r="B74" s="43"/>
      <c r="C74" s="43"/>
      <c r="D74" s="43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</row>
    <row r="75" spans="1:43" x14ac:dyDescent="0.3">
      <c r="A75" s="43"/>
      <c r="B75" s="43"/>
      <c r="C75" s="43"/>
      <c r="D75" s="43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</row>
    <row r="76" spans="1:43" x14ac:dyDescent="0.3">
      <c r="A76" s="43"/>
      <c r="B76" s="43"/>
      <c r="C76" s="43"/>
      <c r="D76" s="43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</row>
    <row r="77" spans="1:43" x14ac:dyDescent="0.3">
      <c r="A77" s="43"/>
      <c r="B77" s="43"/>
      <c r="C77" s="43"/>
      <c r="D77" s="43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</row>
    <row r="78" spans="1:43" x14ac:dyDescent="0.3">
      <c r="A78" s="43"/>
      <c r="B78" s="43"/>
      <c r="C78" s="43"/>
      <c r="D78" s="43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</row>
    <row r="79" spans="1:43" x14ac:dyDescent="0.3">
      <c r="A79" s="43"/>
      <c r="B79" s="43"/>
      <c r="C79" s="43"/>
      <c r="D79" s="43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</row>
    <row r="80" spans="1:43" x14ac:dyDescent="0.3">
      <c r="A80" s="43"/>
      <c r="B80" s="43"/>
      <c r="C80" s="43"/>
      <c r="D80" s="4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</row>
    <row r="81" spans="1:43" x14ac:dyDescent="0.3">
      <c r="A81" s="43"/>
      <c r="B81" s="43"/>
      <c r="C81" s="43"/>
      <c r="D81" s="43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</row>
    <row r="82" spans="1:43" x14ac:dyDescent="0.3">
      <c r="A82" s="43"/>
      <c r="B82" s="43"/>
      <c r="C82" s="43"/>
      <c r="D82" s="43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</row>
    <row r="83" spans="1:43" x14ac:dyDescent="0.3">
      <c r="A83" s="43"/>
      <c r="B83" s="43"/>
      <c r="C83" s="43"/>
      <c r="D83" s="43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</row>
    <row r="84" spans="1:43" x14ac:dyDescent="0.3">
      <c r="A84" s="43"/>
      <c r="B84" s="43"/>
      <c r="C84" s="43"/>
      <c r="D84" s="43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</row>
    <row r="85" spans="1:43" x14ac:dyDescent="0.3">
      <c r="A85" s="43"/>
      <c r="B85" s="43"/>
      <c r="C85" s="43"/>
      <c r="D85" s="43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</row>
    <row r="86" spans="1:43" x14ac:dyDescent="0.3">
      <c r="A86" s="43"/>
      <c r="B86" s="43"/>
      <c r="C86" s="43"/>
      <c r="D86" s="43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</row>
    <row r="87" spans="1:43" x14ac:dyDescent="0.3">
      <c r="A87" s="43"/>
      <c r="B87" s="43"/>
      <c r="C87" s="43"/>
      <c r="D87" s="43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</row>
    <row r="88" spans="1:43" x14ac:dyDescent="0.3">
      <c r="A88" s="43"/>
      <c r="B88" s="43"/>
      <c r="C88" s="43"/>
      <c r="D88" s="43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</row>
    <row r="89" spans="1:43" x14ac:dyDescent="0.3">
      <c r="A89" s="43"/>
      <c r="B89" s="43"/>
      <c r="C89" s="43"/>
      <c r="D89" s="43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</row>
    <row r="90" spans="1:43" x14ac:dyDescent="0.3">
      <c r="A90" s="43"/>
      <c r="B90" s="43"/>
      <c r="C90" s="43"/>
      <c r="D90" s="43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</row>
    <row r="91" spans="1:43" x14ac:dyDescent="0.3">
      <c r="A91" s="43"/>
      <c r="B91" s="43"/>
      <c r="C91" s="43"/>
      <c r="D91" s="43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</row>
    <row r="92" spans="1:43" x14ac:dyDescent="0.3">
      <c r="A92" s="43"/>
      <c r="B92" s="43"/>
      <c r="C92" s="43"/>
      <c r="D92" s="43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</row>
    <row r="93" spans="1:43" x14ac:dyDescent="0.3">
      <c r="A93" s="43"/>
      <c r="B93" s="43"/>
      <c r="C93" s="43"/>
      <c r="D93" s="43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</row>
    <row r="94" spans="1:43" x14ac:dyDescent="0.3">
      <c r="A94" s="43"/>
      <c r="B94" s="43"/>
      <c r="C94" s="43"/>
      <c r="D94" s="43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</row>
    <row r="95" spans="1:43" x14ac:dyDescent="0.3">
      <c r="A95" s="43"/>
      <c r="B95" s="43"/>
      <c r="C95" s="43"/>
      <c r="D95" s="43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</row>
    <row r="96" spans="1:43" x14ac:dyDescent="0.3">
      <c r="A96" s="43"/>
      <c r="B96" s="43"/>
      <c r="C96" s="43"/>
      <c r="D96" s="43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</row>
    <row r="97" spans="1:43" x14ac:dyDescent="0.3">
      <c r="A97" s="43"/>
      <c r="B97" s="43"/>
      <c r="C97" s="43"/>
      <c r="D97" s="43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x14ac:dyDescent="0.3">
      <c r="A98" s="43"/>
      <c r="B98" s="43"/>
      <c r="C98" s="43"/>
      <c r="D98" s="43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x14ac:dyDescent="0.3">
      <c r="A99" s="43"/>
      <c r="B99" s="43"/>
      <c r="C99" s="43"/>
      <c r="D99" s="43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</row>
    <row r="100" spans="1:43" x14ac:dyDescent="0.3">
      <c r="A100" s="43"/>
      <c r="B100" s="43"/>
      <c r="C100" s="43"/>
      <c r="D100" s="43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</row>
    <row r="101" spans="1:43" x14ac:dyDescent="0.3">
      <c r="A101" s="43"/>
      <c r="B101" s="43"/>
      <c r="C101" s="43"/>
      <c r="D101" s="43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</row>
    <row r="102" spans="1:43" x14ac:dyDescent="0.3">
      <c r="A102" s="43"/>
      <c r="B102" s="43"/>
      <c r="C102" s="43"/>
      <c r="D102" s="43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</row>
    <row r="103" spans="1:43" x14ac:dyDescent="0.3">
      <c r="A103" s="43"/>
      <c r="B103" s="43"/>
      <c r="C103" s="43"/>
      <c r="D103" s="43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</row>
    <row r="104" spans="1:43" x14ac:dyDescent="0.3">
      <c r="A104" s="43"/>
      <c r="B104" s="43"/>
      <c r="C104" s="43"/>
      <c r="D104" s="43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</row>
    <row r="105" spans="1:43" x14ac:dyDescent="0.3">
      <c r="A105" s="43"/>
      <c r="B105" s="43"/>
      <c r="C105" s="43"/>
      <c r="D105" s="43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</row>
    <row r="106" spans="1:43" x14ac:dyDescent="0.3">
      <c r="A106" s="43"/>
      <c r="B106" s="43"/>
      <c r="C106" s="43"/>
      <c r="D106" s="43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</row>
    <row r="107" spans="1:43" x14ac:dyDescent="0.3">
      <c r="A107" s="43"/>
      <c r="B107" s="43"/>
      <c r="C107" s="43"/>
      <c r="D107" s="43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</row>
    <row r="108" spans="1:43" x14ac:dyDescent="0.3">
      <c r="A108" s="43"/>
      <c r="B108" s="43"/>
      <c r="C108" s="43"/>
      <c r="D108" s="43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</row>
    <row r="109" spans="1:43" x14ac:dyDescent="0.3">
      <c r="A109" s="43"/>
      <c r="B109" s="43"/>
      <c r="C109" s="43"/>
      <c r="D109" s="4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</row>
    <row r="110" spans="1:43" x14ac:dyDescent="0.3">
      <c r="A110" s="43"/>
      <c r="B110" s="43"/>
      <c r="C110" s="43"/>
      <c r="D110" s="43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</row>
    <row r="111" spans="1:43" x14ac:dyDescent="0.3">
      <c r="A111" s="43"/>
      <c r="B111" s="43"/>
      <c r="C111" s="43"/>
      <c r="D111" s="43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</row>
    <row r="112" spans="1:43" x14ac:dyDescent="0.3">
      <c r="A112" s="43"/>
      <c r="B112" s="43"/>
      <c r="C112" s="43"/>
      <c r="D112" s="43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</row>
    <row r="113" spans="1:43" x14ac:dyDescent="0.3">
      <c r="A113" s="43"/>
      <c r="B113" s="43"/>
      <c r="C113" s="43"/>
      <c r="D113" s="43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</row>
    <row r="114" spans="1:43" x14ac:dyDescent="0.3">
      <c r="A114" s="43"/>
      <c r="B114" s="43"/>
      <c r="C114" s="43"/>
      <c r="D114" s="43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</row>
    <row r="115" spans="1:43" x14ac:dyDescent="0.3">
      <c r="A115" s="43"/>
      <c r="B115" s="43"/>
      <c r="C115" s="43"/>
      <c r="D115" s="43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</row>
    <row r="116" spans="1:43" x14ac:dyDescent="0.3">
      <c r="A116" s="43"/>
      <c r="B116" s="43"/>
      <c r="C116" s="43"/>
      <c r="D116" s="43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</row>
    <row r="117" spans="1:43" x14ac:dyDescent="0.3">
      <c r="A117" s="43"/>
      <c r="B117" s="43"/>
      <c r="C117" s="43"/>
      <c r="D117" s="43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</row>
    <row r="118" spans="1:43" x14ac:dyDescent="0.3">
      <c r="A118" s="43"/>
      <c r="B118" s="43"/>
      <c r="C118" s="43"/>
      <c r="D118" s="43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</row>
    <row r="119" spans="1:43" x14ac:dyDescent="0.3">
      <c r="A119" s="43"/>
      <c r="B119" s="43"/>
      <c r="C119" s="43"/>
      <c r="D119" s="43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</row>
    <row r="120" spans="1:43" x14ac:dyDescent="0.3">
      <c r="A120" s="43"/>
      <c r="B120" s="43"/>
      <c r="C120" s="43"/>
      <c r="D120" s="43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</row>
    <row r="121" spans="1:43" x14ac:dyDescent="0.3">
      <c r="A121" s="43"/>
      <c r="B121" s="43"/>
      <c r="C121" s="43"/>
      <c r="D121" s="43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</row>
    <row r="122" spans="1:43" x14ac:dyDescent="0.3">
      <c r="A122" s="43"/>
      <c r="B122" s="43"/>
      <c r="C122" s="43"/>
      <c r="D122" s="43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</row>
    <row r="123" spans="1:43" x14ac:dyDescent="0.3">
      <c r="A123" s="43"/>
      <c r="B123" s="43"/>
      <c r="C123" s="43"/>
      <c r="D123" s="43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</row>
    <row r="124" spans="1:43" x14ac:dyDescent="0.3">
      <c r="A124" s="43"/>
      <c r="B124" s="43"/>
      <c r="C124" s="43"/>
      <c r="D124" s="43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</row>
    <row r="125" spans="1:43" x14ac:dyDescent="0.3">
      <c r="A125" s="43"/>
      <c r="B125" s="43"/>
      <c r="C125" s="43"/>
      <c r="D125" s="43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</row>
    <row r="126" spans="1:43" x14ac:dyDescent="0.3">
      <c r="A126" s="43"/>
      <c r="B126" s="43"/>
      <c r="C126" s="43"/>
      <c r="D126" s="43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</row>
    <row r="127" spans="1:43" x14ac:dyDescent="0.3">
      <c r="A127" s="43"/>
      <c r="B127" s="43"/>
      <c r="C127" s="43"/>
      <c r="D127" s="43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</row>
    <row r="128" spans="1:43" x14ac:dyDescent="0.3">
      <c r="A128" s="43"/>
      <c r="B128" s="43"/>
      <c r="C128" s="43"/>
      <c r="D128" s="43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</row>
    <row r="129" spans="1:43" x14ac:dyDescent="0.3">
      <c r="A129" s="43"/>
      <c r="B129" s="43"/>
      <c r="C129" s="43"/>
      <c r="D129" s="43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</row>
    <row r="130" spans="1:43" x14ac:dyDescent="0.3">
      <c r="A130" s="43"/>
      <c r="B130" s="43"/>
      <c r="C130" s="43"/>
      <c r="D130" s="43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</row>
    <row r="131" spans="1:43" x14ac:dyDescent="0.3">
      <c r="A131" s="43"/>
      <c r="B131" s="43"/>
      <c r="C131" s="43"/>
      <c r="D131" s="43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</row>
    <row r="132" spans="1:43" x14ac:dyDescent="0.3">
      <c r="A132" s="43"/>
      <c r="B132" s="43"/>
      <c r="C132" s="43"/>
      <c r="D132" s="43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</row>
    <row r="133" spans="1:43" x14ac:dyDescent="0.3">
      <c r="A133" s="43"/>
      <c r="B133" s="43"/>
      <c r="C133" s="43"/>
      <c r="D133" s="43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</row>
    <row r="134" spans="1:43" x14ac:dyDescent="0.3">
      <c r="A134" s="43"/>
      <c r="B134" s="43"/>
      <c r="C134" s="43"/>
      <c r="D134" s="43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</row>
    <row r="135" spans="1:43" x14ac:dyDescent="0.3">
      <c r="A135" s="43"/>
      <c r="B135" s="43"/>
      <c r="C135" s="43"/>
      <c r="D135" s="43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</row>
    <row r="136" spans="1:43" x14ac:dyDescent="0.3">
      <c r="A136" s="43"/>
      <c r="B136" s="43"/>
      <c r="C136" s="43"/>
      <c r="D136" s="43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</row>
    <row r="137" spans="1:43" x14ac:dyDescent="0.3">
      <c r="A137" s="43"/>
      <c r="B137" s="43"/>
      <c r="C137" s="43"/>
      <c r="D137" s="43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</row>
    <row r="138" spans="1:43" x14ac:dyDescent="0.3">
      <c r="A138" s="43"/>
      <c r="B138" s="43"/>
      <c r="C138" s="43"/>
      <c r="D138" s="4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</row>
    <row r="139" spans="1:43" x14ac:dyDescent="0.3">
      <c r="A139" s="43"/>
      <c r="B139" s="43"/>
      <c r="C139" s="43"/>
      <c r="D139" s="43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</row>
    <row r="140" spans="1:43" x14ac:dyDescent="0.3">
      <c r="A140" s="43"/>
      <c r="B140" s="43"/>
      <c r="C140" s="43"/>
      <c r="D140" s="43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</row>
    <row r="141" spans="1:43" x14ac:dyDescent="0.3">
      <c r="A141" s="43"/>
      <c r="B141" s="43"/>
      <c r="C141" s="43"/>
      <c r="D141" s="43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</row>
    <row r="142" spans="1:43" x14ac:dyDescent="0.3">
      <c r="A142" s="43"/>
      <c r="B142" s="43"/>
      <c r="C142" s="43"/>
      <c r="D142" s="43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</row>
    <row r="143" spans="1:43" x14ac:dyDescent="0.3">
      <c r="A143" s="43"/>
      <c r="B143" s="43"/>
      <c r="C143" s="43"/>
      <c r="D143" s="43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</row>
    <row r="144" spans="1:43" x14ac:dyDescent="0.3">
      <c r="A144" s="43"/>
      <c r="B144" s="43"/>
      <c r="C144" s="43"/>
      <c r="D144" s="43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</row>
    <row r="145" spans="1:43" x14ac:dyDescent="0.3">
      <c r="A145" s="43"/>
      <c r="B145" s="43"/>
      <c r="C145" s="43"/>
      <c r="D145" s="43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</row>
    <row r="146" spans="1:43" x14ac:dyDescent="0.3">
      <c r="A146" s="43"/>
      <c r="B146" s="43"/>
      <c r="C146" s="43"/>
      <c r="D146" s="43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</row>
    <row r="147" spans="1:43" x14ac:dyDescent="0.3">
      <c r="A147" s="43"/>
      <c r="B147" s="43"/>
      <c r="C147" s="43"/>
      <c r="D147" s="43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</row>
    <row r="148" spans="1:43" x14ac:dyDescent="0.3">
      <c r="A148" s="43"/>
      <c r="B148" s="43"/>
      <c r="C148" s="43"/>
      <c r="D148" s="43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</row>
    <row r="149" spans="1:43" x14ac:dyDescent="0.3">
      <c r="A149" s="43"/>
      <c r="B149" s="43"/>
      <c r="C149" s="43"/>
      <c r="D149" s="43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</row>
    <row r="150" spans="1:43" x14ac:dyDescent="0.3">
      <c r="A150" s="43"/>
      <c r="B150" s="43"/>
      <c r="C150" s="43"/>
      <c r="D150" s="43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</row>
    <row r="151" spans="1:43" x14ac:dyDescent="0.3">
      <c r="A151" s="43"/>
      <c r="B151" s="43"/>
      <c r="C151" s="43"/>
      <c r="D151" s="43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</row>
    <row r="152" spans="1:43" x14ac:dyDescent="0.3">
      <c r="A152" s="43"/>
      <c r="B152" s="43"/>
      <c r="C152" s="43"/>
      <c r="D152" s="43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</row>
    <row r="153" spans="1:43" x14ac:dyDescent="0.3">
      <c r="A153" s="43"/>
      <c r="B153" s="43"/>
      <c r="C153" s="43"/>
      <c r="D153" s="43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</row>
    <row r="154" spans="1:43" x14ac:dyDescent="0.3">
      <c r="A154" s="43"/>
      <c r="B154" s="43"/>
      <c r="C154" s="43"/>
      <c r="D154" s="43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</row>
    <row r="155" spans="1:43" x14ac:dyDescent="0.3">
      <c r="A155" s="43"/>
      <c r="B155" s="43"/>
      <c r="C155" s="43"/>
      <c r="D155" s="43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</row>
    <row r="156" spans="1:43" x14ac:dyDescent="0.3">
      <c r="A156" s="43"/>
      <c r="B156" s="43"/>
      <c r="C156" s="43"/>
      <c r="D156" s="43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</row>
    <row r="157" spans="1:43" x14ac:dyDescent="0.3">
      <c r="A157" s="43"/>
      <c r="B157" s="43"/>
      <c r="C157" s="43"/>
      <c r="D157" s="43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</row>
    <row r="158" spans="1:43" x14ac:dyDescent="0.3">
      <c r="A158" s="43"/>
      <c r="B158" s="43"/>
      <c r="C158" s="43"/>
      <c r="D158" s="43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</row>
    <row r="159" spans="1:43" x14ac:dyDescent="0.3">
      <c r="A159" s="43"/>
      <c r="B159" s="43"/>
      <c r="C159" s="43"/>
      <c r="D159" s="43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</row>
    <row r="160" spans="1:43" x14ac:dyDescent="0.3">
      <c r="A160" s="43"/>
      <c r="B160" s="43"/>
      <c r="C160" s="43"/>
      <c r="D160" s="43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</row>
    <row r="161" spans="1:43" x14ac:dyDescent="0.3">
      <c r="A161" s="43"/>
      <c r="B161" s="43"/>
      <c r="C161" s="43"/>
      <c r="D161" s="43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</row>
    <row r="162" spans="1:43" x14ac:dyDescent="0.3">
      <c r="A162" s="43"/>
      <c r="B162" s="43"/>
      <c r="C162" s="43"/>
      <c r="D162" s="43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</row>
    <row r="163" spans="1:43" x14ac:dyDescent="0.3">
      <c r="A163" s="43"/>
      <c r="B163" s="43"/>
      <c r="C163" s="43"/>
      <c r="D163" s="43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</row>
    <row r="164" spans="1:43" x14ac:dyDescent="0.3">
      <c r="A164" s="43"/>
      <c r="B164" s="43"/>
      <c r="C164" s="43"/>
      <c r="D164" s="43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</row>
    <row r="165" spans="1:43" x14ac:dyDescent="0.3">
      <c r="A165" s="43"/>
      <c r="B165" s="43"/>
      <c r="C165" s="43"/>
      <c r="D165" s="43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</row>
    <row r="166" spans="1:43" x14ac:dyDescent="0.3">
      <c r="A166" s="43"/>
      <c r="B166" s="43"/>
      <c r="C166" s="43"/>
      <c r="D166" s="43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</row>
    <row r="167" spans="1:43" x14ac:dyDescent="0.3">
      <c r="A167" s="43"/>
      <c r="B167" s="43"/>
      <c r="C167" s="43"/>
      <c r="D167" s="4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</row>
    <row r="168" spans="1:43" x14ac:dyDescent="0.3">
      <c r="A168" s="43"/>
      <c r="B168" s="43"/>
      <c r="C168" s="43"/>
      <c r="D168" s="43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</row>
    <row r="169" spans="1:43" x14ac:dyDescent="0.3">
      <c r="A169" s="43"/>
      <c r="B169" s="43"/>
      <c r="C169" s="43"/>
      <c r="D169" s="43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</row>
    <row r="170" spans="1:43" x14ac:dyDescent="0.3">
      <c r="A170" s="43"/>
      <c r="B170" s="43"/>
      <c r="C170" s="43"/>
      <c r="D170" s="43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</row>
    <row r="171" spans="1:43" x14ac:dyDescent="0.3">
      <c r="A171" s="43"/>
      <c r="B171" s="43"/>
      <c r="C171" s="43"/>
      <c r="D171" s="43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</row>
    <row r="172" spans="1:43" x14ac:dyDescent="0.3">
      <c r="A172" s="43"/>
      <c r="B172" s="43"/>
      <c r="C172" s="43"/>
      <c r="D172" s="43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</row>
    <row r="173" spans="1:43" x14ac:dyDescent="0.3">
      <c r="A173" s="43"/>
      <c r="B173" s="43"/>
      <c r="C173" s="43"/>
      <c r="D173" s="43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</row>
    <row r="174" spans="1:43" x14ac:dyDescent="0.3">
      <c r="A174" s="43"/>
      <c r="B174" s="43"/>
      <c r="C174" s="43"/>
      <c r="D174" s="43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</row>
    <row r="175" spans="1:43" x14ac:dyDescent="0.3">
      <c r="A175" s="43"/>
      <c r="B175" s="43"/>
      <c r="C175" s="43"/>
      <c r="D175" s="43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</row>
    <row r="176" spans="1:43" x14ac:dyDescent="0.3">
      <c r="A176" s="43"/>
      <c r="B176" s="43"/>
      <c r="C176" s="43"/>
      <c r="D176" s="43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</row>
    <row r="177" spans="1:43" x14ac:dyDescent="0.3">
      <c r="A177" s="43"/>
      <c r="B177" s="43"/>
      <c r="C177" s="43"/>
      <c r="D177" s="43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</row>
    <row r="178" spans="1:43" x14ac:dyDescent="0.3">
      <c r="A178" s="43"/>
      <c r="B178" s="43"/>
      <c r="C178" s="43"/>
      <c r="D178" s="43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</row>
    <row r="179" spans="1:43" x14ac:dyDescent="0.3">
      <c r="A179" s="43"/>
      <c r="B179" s="43"/>
      <c r="C179" s="43"/>
      <c r="D179" s="43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</row>
    <row r="180" spans="1:43" x14ac:dyDescent="0.3">
      <c r="A180" s="43"/>
      <c r="B180" s="43"/>
      <c r="C180" s="43"/>
      <c r="D180" s="43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</row>
    <row r="181" spans="1:43" x14ac:dyDescent="0.3">
      <c r="A181" s="43"/>
      <c r="B181" s="43"/>
      <c r="C181" s="43"/>
      <c r="D181" s="43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</row>
    <row r="182" spans="1:43" x14ac:dyDescent="0.3">
      <c r="A182" s="43"/>
      <c r="B182" s="43"/>
      <c r="C182" s="43"/>
      <c r="D182" s="43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</row>
    <row r="183" spans="1:43" x14ac:dyDescent="0.3">
      <c r="A183" s="43"/>
      <c r="B183" s="43"/>
      <c r="C183" s="43"/>
      <c r="D183" s="43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</row>
    <row r="184" spans="1:43" x14ac:dyDescent="0.3">
      <c r="A184" s="43"/>
      <c r="B184" s="43"/>
      <c r="C184" s="43"/>
      <c r="D184" s="43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</row>
    <row r="185" spans="1:43" x14ac:dyDescent="0.3">
      <c r="A185" s="43"/>
      <c r="B185" s="43"/>
      <c r="C185" s="43"/>
      <c r="D185" s="43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</row>
    <row r="186" spans="1:43" x14ac:dyDescent="0.3">
      <c r="A186" s="43"/>
      <c r="B186" s="43"/>
      <c r="C186" s="43"/>
      <c r="D186" s="43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</row>
    <row r="187" spans="1:43" x14ac:dyDescent="0.3">
      <c r="A187" s="43"/>
      <c r="B187" s="43"/>
      <c r="C187" s="43"/>
      <c r="D187" s="43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</row>
    <row r="188" spans="1:43" x14ac:dyDescent="0.3">
      <c r="A188" s="43"/>
      <c r="B188" s="43"/>
      <c r="C188" s="43"/>
      <c r="D188" s="43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</row>
  </sheetData>
  <sheetProtection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0.39997558519241921"/>
  </sheetPr>
  <dimension ref="A1:BA304"/>
  <sheetViews>
    <sheetView showGridLines="0" zoomScaleNormal="10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E19" sqref="E19"/>
    </sheetView>
  </sheetViews>
  <sheetFormatPr baseColWidth="10" defaultColWidth="11.44140625" defaultRowHeight="14.4" x14ac:dyDescent="0.3"/>
  <cols>
    <col min="1" max="1" width="0.6640625" style="47" customWidth="1"/>
    <col min="2" max="2" width="27.77734375" style="47" customWidth="1"/>
    <col min="3" max="3" width="1.33203125" style="20" customWidth="1"/>
    <col min="4" max="4" width="1.77734375" style="20" customWidth="1"/>
    <col min="5" max="5" width="60.33203125" style="20" customWidth="1"/>
    <col min="6" max="6" width="13.109375" style="20" customWidth="1"/>
    <col min="7" max="7" width="3.44140625" style="20" customWidth="1"/>
    <col min="8" max="8" width="60" style="20" customWidth="1"/>
    <col min="9" max="9" width="14.33203125" style="20" customWidth="1"/>
    <col min="10" max="10" width="2.33203125" style="20" customWidth="1"/>
    <col min="11" max="11" width="12.44140625" style="20" customWidth="1"/>
    <col min="12" max="12" width="7.44140625" style="20" hidden="1" customWidth="1"/>
    <col min="13" max="13" width="13" style="20" hidden="1" customWidth="1"/>
    <col min="14" max="14" width="3.77734375" style="20" customWidth="1"/>
    <col min="15" max="16384" width="11.44140625" style="20"/>
  </cols>
  <sheetData>
    <row r="1" spans="1:53" s="19" customFormat="1" ht="24.45" customHeight="1" x14ac:dyDescent="0.45">
      <c r="A1" s="45"/>
      <c r="B1" s="45" t="s">
        <v>34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</row>
    <row r="2" spans="1:53" ht="63" customHeight="1" x14ac:dyDescent="0.3">
      <c r="C2" s="47"/>
      <c r="D2" s="47"/>
      <c r="E2" s="47"/>
      <c r="F2" s="47"/>
      <c r="G2" s="47"/>
      <c r="H2" s="47"/>
      <c r="I2" s="48"/>
      <c r="J2" s="48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</row>
    <row r="3" spans="1:53" ht="2.5499999999999998" customHeight="1" x14ac:dyDescent="0.3">
      <c r="C3" s="47"/>
      <c r="D3" s="47"/>
      <c r="E3" s="47"/>
      <c r="F3" s="47"/>
      <c r="G3" s="47"/>
      <c r="H3" s="47"/>
      <c r="I3" s="47"/>
      <c r="J3" s="48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</row>
    <row r="4" spans="1:53" ht="16.95" customHeight="1" x14ac:dyDescent="0.3">
      <c r="C4" s="47"/>
      <c r="D4" s="47"/>
      <c r="E4" s="47"/>
      <c r="F4" s="47"/>
      <c r="G4" s="47"/>
      <c r="H4" s="47"/>
      <c r="I4" s="55">
        <v>100</v>
      </c>
      <c r="J4" s="48"/>
      <c r="K4" s="47"/>
      <c r="L4" s="47"/>
      <c r="M4" s="49" t="s">
        <v>53</v>
      </c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</row>
    <row r="5" spans="1:53" ht="2.5499999999999998" customHeight="1" x14ac:dyDescent="0.3"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</row>
    <row r="6" spans="1:53" s="21" customFormat="1" ht="15" customHeight="1" x14ac:dyDescent="0.3">
      <c r="A6" s="47"/>
      <c r="B6" s="47"/>
      <c r="C6" s="20"/>
    </row>
    <row r="7" spans="1:53" s="21" customFormat="1" ht="15" customHeight="1" x14ac:dyDescent="0.3">
      <c r="A7" s="47"/>
      <c r="B7" s="47"/>
      <c r="C7" s="20"/>
    </row>
    <row r="8" spans="1:53" s="21" customFormat="1" ht="15" customHeight="1" x14ac:dyDescent="0.3">
      <c r="A8" s="47"/>
      <c r="B8" s="47"/>
      <c r="C8" s="20"/>
    </row>
    <row r="9" spans="1:53" s="21" customFormat="1" ht="15" customHeight="1" x14ac:dyDescent="0.3">
      <c r="A9" s="47"/>
      <c r="B9" s="47"/>
      <c r="C9" s="20"/>
    </row>
    <row r="10" spans="1:53" s="21" customFormat="1" ht="18" customHeight="1" x14ac:dyDescent="0.3">
      <c r="A10" s="47"/>
      <c r="B10" s="47"/>
      <c r="C10" s="20"/>
      <c r="E10" s="50" t="s">
        <v>59</v>
      </c>
      <c r="F10" s="50" t="s">
        <v>55</v>
      </c>
      <c r="H10" s="50" t="s">
        <v>19</v>
      </c>
      <c r="I10" s="53" t="s">
        <v>55</v>
      </c>
      <c r="L10" s="22" t="s">
        <v>22</v>
      </c>
      <c r="M10" s="22" t="s">
        <v>21</v>
      </c>
    </row>
    <row r="11" spans="1:53" s="21" customFormat="1" ht="18" customHeight="1" x14ac:dyDescent="0.3">
      <c r="A11" s="47"/>
      <c r="B11" s="47"/>
      <c r="C11" s="20"/>
      <c r="E11" s="77"/>
      <c r="F11" s="78" t="str">
        <f>IF(ISERROR(VLOOKUP(tbl_tipoMovimiento[[#This Row],[Categ. de ingresos o gastos]],tbl_diario[Tipo de movimiento],1,FALSE)),"Modificable","No modificar")</f>
        <v>Modificable</v>
      </c>
      <c r="H11" s="51" t="s">
        <v>2</v>
      </c>
      <c r="I11" s="52" t="str">
        <f>IF(ISERROR(VLOOKUP(tbl_ingresosGastos[[#This Row],[Ingresos y gastos]],tbl_diario[Ingreso o gasto],1,FALSE)),"Modificable","No modificar")</f>
        <v>Modificable</v>
      </c>
      <c r="L11" s="22">
        <v>1</v>
      </c>
      <c r="M11" s="22" t="s">
        <v>20</v>
      </c>
    </row>
    <row r="12" spans="1:53" s="21" customFormat="1" ht="18" customHeight="1" x14ac:dyDescent="0.3">
      <c r="A12" s="47"/>
      <c r="B12" s="47"/>
      <c r="C12" s="20"/>
      <c r="E12" s="51" t="s">
        <v>40</v>
      </c>
      <c r="F12" s="52" t="str">
        <f>IF(ISERROR(VLOOKUP(tbl_tipoMovimiento[[#This Row],[Categ. de ingresos o gastos]],tbl_diario[Tipo de movimiento],1,FALSE)),"Modificable","No modificar")</f>
        <v>No modificar</v>
      </c>
      <c r="H12" s="51" t="s">
        <v>1</v>
      </c>
      <c r="I12" s="52" t="str">
        <f>IF(ISERROR(VLOOKUP(tbl_ingresosGastos[[#This Row],[Ingresos y gastos]],tbl_diario[Ingreso o gasto],1,FALSE)),"Modificable","No modificar")</f>
        <v>No modificar</v>
      </c>
      <c r="L12" s="22">
        <v>2</v>
      </c>
      <c r="M12" s="22" t="s">
        <v>23</v>
      </c>
    </row>
    <row r="13" spans="1:53" s="21" customFormat="1" ht="18" customHeight="1" x14ac:dyDescent="0.3">
      <c r="A13" s="47"/>
      <c r="B13" s="47"/>
      <c r="C13" s="20"/>
      <c r="E13" s="51" t="s">
        <v>35</v>
      </c>
      <c r="F13" s="52" t="str">
        <f>IF(ISERROR(VLOOKUP(tbl_tipoMovimiento[[#This Row],[Categ. de ingresos o gastos]],tbl_diario[Tipo de movimiento],1,FALSE)),"Modificable","No modificar")</f>
        <v>No modificar</v>
      </c>
      <c r="H13" s="51" t="s">
        <v>48</v>
      </c>
      <c r="I13" s="52" t="str">
        <f>IF(ISERROR(VLOOKUP(tbl_ingresosGastos[[#This Row],[Ingresos y gastos]],tbl_diario[Ingreso o gasto],1,FALSE)),"Modificable","No modificar")</f>
        <v>No modificar</v>
      </c>
      <c r="L13" s="22">
        <v>3</v>
      </c>
      <c r="M13" s="22" t="s">
        <v>24</v>
      </c>
    </row>
    <row r="14" spans="1:53" s="21" customFormat="1" ht="18" customHeight="1" x14ac:dyDescent="0.3">
      <c r="A14" s="47"/>
      <c r="B14" s="47"/>
      <c r="C14" s="20"/>
      <c r="E14" s="51" t="s">
        <v>36</v>
      </c>
      <c r="F14" s="52" t="str">
        <f>IF(ISERROR(VLOOKUP(tbl_tipoMovimiento[[#This Row],[Categ. de ingresos o gastos]],tbl_diario[Tipo de movimiento],1,FALSE)),"Modificable","No modificar")</f>
        <v>No modificar</v>
      </c>
      <c r="H14" s="51" t="s">
        <v>7</v>
      </c>
      <c r="I14" s="52" t="str">
        <f>IF(ISERROR(VLOOKUP(tbl_ingresosGastos[[#This Row],[Ingresos y gastos]],tbl_diario[Ingreso o gasto],1,FALSE)),"Modificable","No modificar")</f>
        <v>No modificar</v>
      </c>
      <c r="L14" s="22">
        <v>4</v>
      </c>
      <c r="M14" s="22" t="s">
        <v>25</v>
      </c>
    </row>
    <row r="15" spans="1:53" s="21" customFormat="1" ht="18" customHeight="1" x14ac:dyDescent="0.3">
      <c r="A15" s="47"/>
      <c r="B15" s="47"/>
      <c r="C15" s="20"/>
      <c r="E15" s="51" t="s">
        <v>37</v>
      </c>
      <c r="F15" s="52" t="str">
        <f>IF(ISERROR(VLOOKUP(tbl_tipoMovimiento[[#This Row],[Categ. de ingresos o gastos]],tbl_diario[Tipo de movimiento],1,FALSE)),"Modificable","No modificar")</f>
        <v>No modificar</v>
      </c>
      <c r="H15" s="51" t="s">
        <v>47</v>
      </c>
      <c r="I15" s="52" t="str">
        <f>IF(ISERROR(VLOOKUP(tbl_ingresosGastos[[#This Row],[Ingresos y gastos]],tbl_diario[Ingreso o gasto],1,FALSE)),"Modificable","No modificar")</f>
        <v>No modificar</v>
      </c>
      <c r="L15" s="22">
        <v>5</v>
      </c>
      <c r="M15" s="22" t="s">
        <v>26</v>
      </c>
    </row>
    <row r="16" spans="1:53" s="21" customFormat="1" ht="18" customHeight="1" x14ac:dyDescent="0.3">
      <c r="A16" s="47"/>
      <c r="B16" s="47"/>
      <c r="C16" s="20"/>
      <c r="E16" s="51" t="s">
        <v>56</v>
      </c>
      <c r="F16" s="52" t="str">
        <f>IF(ISERROR(VLOOKUP(tbl_tipoMovimiento[[#This Row],[Categ. de ingresos o gastos]],tbl_diario[Tipo de movimiento],1,FALSE)),"Modificable","No modificar")</f>
        <v>Modificable</v>
      </c>
      <c r="H16" s="51" t="s">
        <v>44</v>
      </c>
      <c r="I16" s="52" t="str">
        <f>IF(ISERROR(VLOOKUP(tbl_ingresosGastos[[#This Row],[Ingresos y gastos]],tbl_diario[Ingreso o gasto],1,FALSE)),"Modificable","No modificar")</f>
        <v>No modificar</v>
      </c>
      <c r="L16" s="22">
        <v>6</v>
      </c>
      <c r="M16" s="22" t="s">
        <v>27</v>
      </c>
    </row>
    <row r="17" spans="1:13" s="21" customFormat="1" ht="18" customHeight="1" x14ac:dyDescent="0.3">
      <c r="A17" s="47"/>
      <c r="B17" s="47"/>
      <c r="C17" s="20"/>
      <c r="E17" s="23"/>
      <c r="H17" s="51" t="s">
        <v>42</v>
      </c>
      <c r="I17" s="52" t="str">
        <f>IF(ISERROR(VLOOKUP(tbl_ingresosGastos[[#This Row],[Ingresos y gastos]],tbl_diario[Ingreso o gasto],1,FALSE)),"Modificable","No modificar")</f>
        <v>No modificar</v>
      </c>
      <c r="L17" s="22">
        <v>7</v>
      </c>
      <c r="M17" s="22" t="s">
        <v>28</v>
      </c>
    </row>
    <row r="18" spans="1:13" s="21" customFormat="1" ht="18" customHeight="1" x14ac:dyDescent="0.3">
      <c r="A18" s="47"/>
      <c r="B18" s="47"/>
      <c r="C18" s="20"/>
      <c r="E18" s="23"/>
      <c r="H18" s="51" t="s">
        <v>12</v>
      </c>
      <c r="I18" s="52" t="str">
        <f>IF(ISERROR(VLOOKUP(tbl_ingresosGastos[[#This Row],[Ingresos y gastos]],tbl_diario[Ingreso o gasto],1,FALSE)),"Modificable","No modificar")</f>
        <v>Modificable</v>
      </c>
      <c r="L18" s="22">
        <v>8</v>
      </c>
      <c r="M18" s="22" t="s">
        <v>29</v>
      </c>
    </row>
    <row r="19" spans="1:13" s="21" customFormat="1" ht="18" customHeight="1" x14ac:dyDescent="0.3">
      <c r="A19" s="47"/>
      <c r="B19" s="47"/>
      <c r="C19" s="20"/>
      <c r="H19" s="51" t="s">
        <v>5</v>
      </c>
      <c r="I19" s="52" t="str">
        <f>IF(ISERROR(VLOOKUP(tbl_ingresosGastos[[#This Row],[Ingresos y gastos]],tbl_diario[Ingreso o gasto],1,FALSE)),"Modificable","No modificar")</f>
        <v>No modificar</v>
      </c>
      <c r="L19" s="22">
        <v>9</v>
      </c>
      <c r="M19" s="22" t="s">
        <v>30</v>
      </c>
    </row>
    <row r="20" spans="1:13" s="21" customFormat="1" ht="18" customHeight="1" x14ac:dyDescent="0.3">
      <c r="A20" s="47"/>
      <c r="B20" s="47"/>
      <c r="C20" s="20"/>
      <c r="H20" s="51" t="s">
        <v>43</v>
      </c>
      <c r="I20" s="52" t="str">
        <f>IF(ISERROR(VLOOKUP(tbl_ingresosGastos[[#This Row],[Ingresos y gastos]],tbl_diario[Ingreso o gasto],1,FALSE)),"Modificable","No modificar")</f>
        <v>No modificar</v>
      </c>
      <c r="L20" s="22">
        <v>10</v>
      </c>
      <c r="M20" s="22" t="s">
        <v>31</v>
      </c>
    </row>
    <row r="21" spans="1:13" s="21" customFormat="1" ht="18" customHeight="1" x14ac:dyDescent="0.3">
      <c r="A21" s="47"/>
      <c r="B21" s="47"/>
      <c r="C21" s="20"/>
      <c r="H21" s="51" t="s">
        <v>4</v>
      </c>
      <c r="I21" s="52" t="str">
        <f>IF(ISERROR(VLOOKUP(tbl_ingresosGastos[[#This Row],[Ingresos y gastos]],tbl_diario[Ingreso o gasto],1,FALSE)),"Modificable","No modificar")</f>
        <v>No modificar</v>
      </c>
      <c r="L21" s="22">
        <v>11</v>
      </c>
      <c r="M21" s="22" t="s">
        <v>32</v>
      </c>
    </row>
    <row r="22" spans="1:13" s="21" customFormat="1" ht="18" customHeight="1" x14ac:dyDescent="0.3">
      <c r="A22" s="47"/>
      <c r="B22" s="47"/>
      <c r="C22" s="20"/>
      <c r="H22" s="51" t="s">
        <v>3</v>
      </c>
      <c r="I22" s="52" t="str">
        <f>IF(ISERROR(VLOOKUP(tbl_ingresosGastos[[#This Row],[Ingresos y gastos]],tbl_diario[Ingreso o gasto],1,FALSE)),"Modificable","No modificar")</f>
        <v>No modificar</v>
      </c>
      <c r="L22" s="22">
        <v>12</v>
      </c>
      <c r="M22" s="22" t="s">
        <v>33</v>
      </c>
    </row>
    <row r="23" spans="1:13" s="21" customFormat="1" ht="18" customHeight="1" x14ac:dyDescent="0.3">
      <c r="A23" s="47"/>
      <c r="B23" s="47"/>
      <c r="C23" s="20"/>
      <c r="H23" s="51" t="s">
        <v>16</v>
      </c>
      <c r="I23" s="52" t="str">
        <f>IF(ISERROR(VLOOKUP(tbl_ingresosGastos[[#This Row],[Ingresos y gastos]],tbl_diario[Ingreso o gasto],1,FALSE)),"Modificable","No modificar")</f>
        <v>No modificar</v>
      </c>
    </row>
    <row r="24" spans="1:13" s="21" customFormat="1" ht="18" customHeight="1" x14ac:dyDescent="0.3">
      <c r="A24" s="47"/>
      <c r="B24" s="47"/>
      <c r="C24" s="20"/>
      <c r="H24" s="51" t="s">
        <v>10</v>
      </c>
      <c r="I24" s="52" t="str">
        <f>IF(ISERROR(VLOOKUP(tbl_ingresosGastos[[#This Row],[Ingresos y gastos]],tbl_diario[Ingreso o gasto],1,FALSE)),"Modificable","No modificar")</f>
        <v>No modificar</v>
      </c>
    </row>
    <row r="25" spans="1:13" s="21" customFormat="1" ht="18" customHeight="1" x14ac:dyDescent="0.3">
      <c r="A25" s="47"/>
      <c r="B25" s="47"/>
      <c r="C25" s="20"/>
      <c r="H25" s="51" t="s">
        <v>17</v>
      </c>
      <c r="I25" s="52" t="str">
        <f>IF(ISERROR(VLOOKUP(tbl_ingresosGastos[[#This Row],[Ingresos y gastos]],tbl_diario[Ingreso o gasto],1,FALSE)),"Modificable","No modificar")</f>
        <v>Modificable</v>
      </c>
    </row>
    <row r="26" spans="1:13" s="21" customFormat="1" ht="18" customHeight="1" x14ac:dyDescent="0.3">
      <c r="A26" s="47"/>
      <c r="B26" s="47"/>
      <c r="C26" s="20"/>
      <c r="H26" s="51" t="s">
        <v>58</v>
      </c>
      <c r="I26" s="52" t="str">
        <f>IF(ISERROR(VLOOKUP(tbl_ingresosGastos[[#This Row],[Ingresos y gastos]],tbl_diario[Ingreso o gasto],1,FALSE)),"Modificable","No modificar")</f>
        <v>No modificar</v>
      </c>
    </row>
    <row r="27" spans="1:13" s="21" customFormat="1" ht="18" customHeight="1" x14ac:dyDescent="0.3">
      <c r="A27" s="47"/>
      <c r="B27" s="47"/>
      <c r="C27" s="20"/>
      <c r="H27" s="51" t="s">
        <v>8</v>
      </c>
      <c r="I27" s="52" t="str">
        <f>IF(ISERROR(VLOOKUP(tbl_ingresosGastos[[#This Row],[Ingresos y gastos]],tbl_diario[Ingreso o gasto],1,FALSE)),"Modificable","No modificar")</f>
        <v>No modificar</v>
      </c>
    </row>
    <row r="28" spans="1:13" s="21" customFormat="1" ht="18" customHeight="1" x14ac:dyDescent="0.3">
      <c r="A28" s="47"/>
      <c r="B28" s="47"/>
      <c r="C28" s="20"/>
      <c r="H28" s="54" t="s">
        <v>57</v>
      </c>
      <c r="I28" s="52" t="str">
        <f>IF(ISERROR(VLOOKUP(tbl_ingresosGastos[[#This Row],[Ingresos y gastos]],tbl_diario[Ingreso o gasto],1,FALSE)),"Modificable","No modificar")</f>
        <v>No modificar</v>
      </c>
    </row>
    <row r="29" spans="1:13" s="21" customFormat="1" ht="18" customHeight="1" x14ac:dyDescent="0.3">
      <c r="A29" s="47"/>
      <c r="B29" s="47"/>
      <c r="C29" s="20"/>
      <c r="H29" s="51" t="s">
        <v>41</v>
      </c>
      <c r="I29" s="52" t="str">
        <f>IF(ISERROR(VLOOKUP(tbl_ingresosGastos[[#This Row],[Ingresos y gastos]],tbl_diario[Ingreso o gasto],1,FALSE)),"Modificable","No modificar")</f>
        <v>Modificable</v>
      </c>
    </row>
    <row r="30" spans="1:13" s="21" customFormat="1" ht="18" customHeight="1" x14ac:dyDescent="0.3">
      <c r="A30" s="47"/>
      <c r="B30" s="47"/>
      <c r="C30" s="20"/>
      <c r="H30" s="51" t="s">
        <v>11</v>
      </c>
      <c r="I30" s="52" t="str">
        <f>IF(ISERROR(VLOOKUP(tbl_ingresosGastos[[#This Row],[Ingresos y gastos]],tbl_diario[Ingreso o gasto],1,FALSE)),"Modificable","No modificar")</f>
        <v>No modificar</v>
      </c>
    </row>
    <row r="31" spans="1:13" s="21" customFormat="1" ht="18" customHeight="1" x14ac:dyDescent="0.3">
      <c r="A31" s="47"/>
      <c r="B31" s="47"/>
      <c r="C31" s="20"/>
      <c r="H31" s="51" t="s">
        <v>45</v>
      </c>
      <c r="I31" s="52" t="str">
        <f>IF(ISERROR(VLOOKUP(tbl_ingresosGastos[[#This Row],[Ingresos y gastos]],tbl_diario[Ingreso o gasto],1,FALSE)),"Modificable","No modificar")</f>
        <v>Modificable</v>
      </c>
    </row>
    <row r="32" spans="1:13" s="21" customFormat="1" ht="18" customHeight="1" x14ac:dyDescent="0.3">
      <c r="A32" s="47"/>
      <c r="B32" s="47"/>
      <c r="C32" s="20"/>
      <c r="H32" s="51" t="s">
        <v>6</v>
      </c>
      <c r="I32" s="52" t="str">
        <f>IF(ISERROR(VLOOKUP(tbl_ingresosGastos[[#This Row],[Ingresos y gastos]],tbl_diario[Ingreso o gasto],1,FALSE)),"Modificable","No modificar")</f>
        <v>No modificar</v>
      </c>
    </row>
    <row r="33" spans="1:9" s="21" customFormat="1" ht="18" customHeight="1" x14ac:dyDescent="0.3">
      <c r="A33" s="47"/>
      <c r="B33" s="47"/>
      <c r="C33" s="20"/>
      <c r="H33" s="51" t="s">
        <v>9</v>
      </c>
      <c r="I33" s="52" t="str">
        <f>IF(ISERROR(VLOOKUP(tbl_ingresosGastos[[#This Row],[Ingresos y gastos]],tbl_diario[Ingreso o gasto],1,FALSE)),"Modificable","No modificar")</f>
        <v>No modificar</v>
      </c>
    </row>
    <row r="34" spans="1:9" s="21" customFormat="1" ht="18" customHeight="1" x14ac:dyDescent="0.3">
      <c r="A34" s="47"/>
      <c r="B34" s="47"/>
      <c r="C34" s="20"/>
    </row>
    <row r="35" spans="1:9" s="21" customFormat="1" ht="18" customHeight="1" x14ac:dyDescent="0.3">
      <c r="A35" s="47"/>
      <c r="B35" s="47"/>
      <c r="C35" s="20"/>
    </row>
    <row r="36" spans="1:9" s="21" customFormat="1" ht="18" customHeight="1" x14ac:dyDescent="0.3">
      <c r="A36" s="47"/>
      <c r="B36" s="47"/>
      <c r="C36" s="20"/>
    </row>
    <row r="37" spans="1:9" s="21" customFormat="1" ht="18" customHeight="1" x14ac:dyDescent="0.3">
      <c r="A37" s="47"/>
      <c r="B37" s="47"/>
      <c r="C37" s="20"/>
    </row>
    <row r="38" spans="1:9" s="21" customFormat="1" ht="18" customHeight="1" x14ac:dyDescent="0.3">
      <c r="A38" s="47"/>
      <c r="B38" s="47"/>
      <c r="C38" s="20"/>
    </row>
    <row r="39" spans="1:9" s="21" customFormat="1" ht="18" customHeight="1" x14ac:dyDescent="0.3">
      <c r="A39" s="47"/>
      <c r="B39" s="47"/>
      <c r="C39" s="20"/>
    </row>
    <row r="40" spans="1:9" s="21" customFormat="1" ht="18" customHeight="1" x14ac:dyDescent="0.3">
      <c r="A40" s="47"/>
      <c r="B40" s="47"/>
      <c r="C40" s="20"/>
    </row>
    <row r="41" spans="1:9" s="21" customFormat="1" ht="18" customHeight="1" x14ac:dyDescent="0.3">
      <c r="A41" s="47"/>
      <c r="B41" s="47"/>
      <c r="C41" s="20"/>
    </row>
    <row r="42" spans="1:9" s="21" customFormat="1" ht="18" customHeight="1" x14ac:dyDescent="0.3">
      <c r="A42" s="47"/>
      <c r="B42" s="47"/>
      <c r="C42" s="20"/>
    </row>
    <row r="43" spans="1:9" s="21" customFormat="1" ht="18" customHeight="1" x14ac:dyDescent="0.3">
      <c r="A43" s="47"/>
      <c r="B43" s="47"/>
      <c r="C43" s="20"/>
    </row>
    <row r="44" spans="1:9" s="21" customFormat="1" ht="18" customHeight="1" x14ac:dyDescent="0.3">
      <c r="A44" s="47"/>
      <c r="B44" s="47"/>
      <c r="C44" s="20"/>
    </row>
    <row r="45" spans="1:9" s="21" customFormat="1" ht="18" customHeight="1" x14ac:dyDescent="0.3">
      <c r="A45" s="47"/>
      <c r="B45" s="47"/>
      <c r="C45" s="20"/>
    </row>
    <row r="46" spans="1:9" s="21" customFormat="1" ht="18" customHeight="1" x14ac:dyDescent="0.3">
      <c r="A46" s="47"/>
      <c r="B46" s="47"/>
      <c r="C46" s="20"/>
    </row>
    <row r="47" spans="1:9" s="21" customFormat="1" ht="18" customHeight="1" x14ac:dyDescent="0.3">
      <c r="A47" s="47"/>
      <c r="B47" s="47"/>
      <c r="C47" s="20"/>
    </row>
    <row r="48" spans="1:9" s="21" customFormat="1" ht="18" customHeight="1" x14ac:dyDescent="0.3">
      <c r="A48" s="47"/>
      <c r="B48" s="47"/>
      <c r="C48" s="20"/>
    </row>
    <row r="49" spans="1:9" s="21" customFormat="1" ht="18" customHeight="1" x14ac:dyDescent="0.3">
      <c r="A49" s="47"/>
      <c r="B49" s="47"/>
      <c r="C49" s="20"/>
    </row>
    <row r="50" spans="1:9" s="21" customFormat="1" ht="18" customHeight="1" x14ac:dyDescent="0.3">
      <c r="A50" s="47"/>
      <c r="B50" s="47"/>
      <c r="C50" s="20"/>
    </row>
    <row r="51" spans="1:9" s="21" customFormat="1" ht="18" customHeight="1" x14ac:dyDescent="0.3">
      <c r="A51" s="47"/>
      <c r="B51" s="47"/>
      <c r="C51" s="20"/>
    </row>
    <row r="52" spans="1:9" s="21" customFormat="1" ht="18" customHeight="1" x14ac:dyDescent="0.3">
      <c r="A52" s="47"/>
      <c r="B52" s="47"/>
      <c r="C52" s="20"/>
    </row>
    <row r="53" spans="1:9" s="21" customFormat="1" ht="18" customHeight="1" x14ac:dyDescent="0.3">
      <c r="A53" s="47"/>
      <c r="B53" s="47"/>
      <c r="C53" s="20"/>
      <c r="H53" s="20"/>
      <c r="I53" s="20"/>
    </row>
    <row r="54" spans="1:9" ht="18" customHeight="1" x14ac:dyDescent="0.3">
      <c r="E54" s="21"/>
      <c r="F54" s="21"/>
    </row>
    <row r="55" spans="1:9" ht="18" customHeight="1" x14ac:dyDescent="0.3"/>
    <row r="56" spans="1:9" ht="18" customHeight="1" x14ac:dyDescent="0.3"/>
    <row r="57" spans="1:9" ht="18" customHeight="1" x14ac:dyDescent="0.3"/>
    <row r="58" spans="1:9" ht="18" customHeight="1" x14ac:dyDescent="0.3"/>
    <row r="59" spans="1:9" ht="18" customHeight="1" x14ac:dyDescent="0.3"/>
    <row r="60" spans="1:9" ht="18" customHeight="1" x14ac:dyDescent="0.3"/>
    <row r="61" spans="1:9" ht="18" customHeight="1" x14ac:dyDescent="0.3"/>
    <row r="62" spans="1:9" ht="18" customHeight="1" x14ac:dyDescent="0.3"/>
    <row r="63" spans="1:9" ht="18" customHeight="1" x14ac:dyDescent="0.3"/>
    <row r="64" spans="1:9" ht="18" customHeight="1" x14ac:dyDescent="0.3"/>
    <row r="65" ht="18" customHeight="1" x14ac:dyDescent="0.3"/>
    <row r="66" ht="18" customHeight="1" x14ac:dyDescent="0.3"/>
    <row r="67" ht="18" customHeight="1" x14ac:dyDescent="0.3"/>
    <row r="68" ht="18" customHeight="1" x14ac:dyDescent="0.3"/>
    <row r="69" ht="18" customHeight="1" x14ac:dyDescent="0.3"/>
    <row r="70" ht="18" customHeight="1" x14ac:dyDescent="0.3"/>
    <row r="71" ht="18" customHeight="1" x14ac:dyDescent="0.3"/>
    <row r="72" ht="18" customHeight="1" x14ac:dyDescent="0.3"/>
    <row r="73" ht="18" customHeight="1" x14ac:dyDescent="0.3"/>
    <row r="74" ht="18" customHeight="1" x14ac:dyDescent="0.3"/>
    <row r="75" ht="18" customHeight="1" x14ac:dyDescent="0.3"/>
    <row r="76" ht="18" customHeight="1" x14ac:dyDescent="0.3"/>
    <row r="77" ht="18" customHeight="1" x14ac:dyDescent="0.3"/>
    <row r="78" ht="18" customHeight="1" x14ac:dyDescent="0.3"/>
    <row r="79" ht="18" customHeight="1" x14ac:dyDescent="0.3"/>
    <row r="80" ht="18" customHeight="1" x14ac:dyDescent="0.3"/>
    <row r="81" ht="18" customHeight="1" x14ac:dyDescent="0.3"/>
    <row r="82" ht="18" customHeight="1" x14ac:dyDescent="0.3"/>
    <row r="83" ht="18" customHeight="1" x14ac:dyDescent="0.3"/>
    <row r="84" ht="18" customHeight="1" x14ac:dyDescent="0.3"/>
    <row r="85" ht="18" customHeight="1" x14ac:dyDescent="0.3"/>
    <row r="86" ht="18" customHeight="1" x14ac:dyDescent="0.3"/>
    <row r="87" ht="18" customHeight="1" x14ac:dyDescent="0.3"/>
    <row r="88" ht="18" customHeight="1" x14ac:dyDescent="0.3"/>
    <row r="89" ht="18" customHeight="1" x14ac:dyDescent="0.3"/>
    <row r="90" ht="18" customHeight="1" x14ac:dyDescent="0.3"/>
    <row r="91" ht="18" customHeight="1" x14ac:dyDescent="0.3"/>
    <row r="92" ht="18" customHeight="1" x14ac:dyDescent="0.3"/>
    <row r="93" ht="18" customHeight="1" x14ac:dyDescent="0.3"/>
    <row r="94" ht="18" customHeight="1" x14ac:dyDescent="0.3"/>
    <row r="95" ht="18" customHeight="1" x14ac:dyDescent="0.3"/>
    <row r="96" ht="18" customHeight="1" x14ac:dyDescent="0.3"/>
    <row r="97" ht="18" customHeight="1" x14ac:dyDescent="0.3"/>
    <row r="98" ht="18" customHeight="1" x14ac:dyDescent="0.3"/>
    <row r="99" ht="18" customHeight="1" x14ac:dyDescent="0.3"/>
    <row r="100" ht="18" customHeight="1" x14ac:dyDescent="0.3"/>
    <row r="101" ht="18" customHeight="1" x14ac:dyDescent="0.3"/>
    <row r="102" ht="18" customHeight="1" x14ac:dyDescent="0.3"/>
    <row r="103" ht="18" customHeight="1" x14ac:dyDescent="0.3"/>
    <row r="104" ht="18" customHeight="1" x14ac:dyDescent="0.3"/>
    <row r="105" ht="18" customHeight="1" x14ac:dyDescent="0.3"/>
    <row r="106" ht="18" customHeight="1" x14ac:dyDescent="0.3"/>
    <row r="107" ht="18" customHeight="1" x14ac:dyDescent="0.3"/>
    <row r="108" ht="18" customHeight="1" x14ac:dyDescent="0.3"/>
    <row r="109" ht="18" customHeight="1" x14ac:dyDescent="0.3"/>
    <row r="110" ht="18" customHeight="1" x14ac:dyDescent="0.3"/>
    <row r="111" ht="18" customHeight="1" x14ac:dyDescent="0.3"/>
    <row r="112" ht="18" customHeight="1" x14ac:dyDescent="0.3"/>
    <row r="113" ht="18" customHeight="1" x14ac:dyDescent="0.3"/>
    <row r="114" ht="18" customHeight="1" x14ac:dyDescent="0.3"/>
    <row r="115" ht="18" customHeight="1" x14ac:dyDescent="0.3"/>
    <row r="116" ht="18" customHeight="1" x14ac:dyDescent="0.3"/>
    <row r="117" ht="18" customHeight="1" x14ac:dyDescent="0.3"/>
    <row r="118" ht="18" customHeight="1" x14ac:dyDescent="0.3"/>
    <row r="119" ht="18" customHeight="1" x14ac:dyDescent="0.3"/>
    <row r="120" ht="18" customHeight="1" x14ac:dyDescent="0.3"/>
    <row r="121" ht="18" customHeight="1" x14ac:dyDescent="0.3"/>
    <row r="122" ht="18" customHeight="1" x14ac:dyDescent="0.3"/>
    <row r="123" ht="18" customHeight="1" x14ac:dyDescent="0.3"/>
    <row r="124" ht="18" customHeight="1" x14ac:dyDescent="0.3"/>
    <row r="125" ht="18" customHeight="1" x14ac:dyDescent="0.3"/>
    <row r="126" ht="18" customHeight="1" x14ac:dyDescent="0.3"/>
    <row r="127" ht="18" customHeight="1" x14ac:dyDescent="0.3"/>
    <row r="128" ht="18" customHeight="1" x14ac:dyDescent="0.3"/>
    <row r="129" ht="18" customHeight="1" x14ac:dyDescent="0.3"/>
    <row r="130" ht="18" customHeight="1" x14ac:dyDescent="0.3"/>
    <row r="131" ht="18" customHeight="1" x14ac:dyDescent="0.3"/>
    <row r="132" ht="18" customHeight="1" x14ac:dyDescent="0.3"/>
    <row r="133" ht="18" customHeight="1" x14ac:dyDescent="0.3"/>
    <row r="134" ht="18" customHeight="1" x14ac:dyDescent="0.3"/>
    <row r="135" ht="18" customHeight="1" x14ac:dyDescent="0.3"/>
    <row r="136" ht="18" customHeight="1" x14ac:dyDescent="0.3"/>
    <row r="137" ht="18" customHeight="1" x14ac:dyDescent="0.3"/>
    <row r="138" ht="18" customHeight="1" x14ac:dyDescent="0.3"/>
    <row r="139" ht="18" customHeight="1" x14ac:dyDescent="0.3"/>
    <row r="140" ht="18" customHeight="1" x14ac:dyDescent="0.3"/>
    <row r="141" ht="18" customHeight="1" x14ac:dyDescent="0.3"/>
    <row r="142" ht="18" customHeight="1" x14ac:dyDescent="0.3"/>
    <row r="143" ht="18" customHeight="1" x14ac:dyDescent="0.3"/>
    <row r="144" ht="18" customHeight="1" x14ac:dyDescent="0.3"/>
    <row r="145" ht="18" customHeight="1" x14ac:dyDescent="0.3"/>
    <row r="146" ht="18" customHeight="1" x14ac:dyDescent="0.3"/>
    <row r="147" ht="18" customHeight="1" x14ac:dyDescent="0.3"/>
    <row r="148" ht="18" customHeight="1" x14ac:dyDescent="0.3"/>
    <row r="149" ht="18" customHeight="1" x14ac:dyDescent="0.3"/>
    <row r="150" ht="18" customHeight="1" x14ac:dyDescent="0.3"/>
    <row r="151" ht="18" customHeight="1" x14ac:dyDescent="0.3"/>
    <row r="152" ht="18" customHeight="1" x14ac:dyDescent="0.3"/>
    <row r="153" ht="18" customHeight="1" x14ac:dyDescent="0.3"/>
    <row r="154" ht="18" customHeight="1" x14ac:dyDescent="0.3"/>
    <row r="155" ht="18" customHeight="1" x14ac:dyDescent="0.3"/>
    <row r="156" ht="18" customHeight="1" x14ac:dyDescent="0.3"/>
    <row r="157" ht="18" customHeight="1" x14ac:dyDescent="0.3"/>
    <row r="158" ht="18" customHeight="1" x14ac:dyDescent="0.3"/>
    <row r="159" ht="18" customHeight="1" x14ac:dyDescent="0.3"/>
    <row r="160" ht="18" customHeight="1" x14ac:dyDescent="0.3"/>
    <row r="161" ht="18" customHeight="1" x14ac:dyDescent="0.3"/>
    <row r="162" ht="18" customHeight="1" x14ac:dyDescent="0.3"/>
    <row r="163" ht="18" customHeight="1" x14ac:dyDescent="0.3"/>
    <row r="164" ht="18" customHeight="1" x14ac:dyDescent="0.3"/>
    <row r="165" ht="18" customHeight="1" x14ac:dyDescent="0.3"/>
    <row r="166" ht="18" customHeight="1" x14ac:dyDescent="0.3"/>
    <row r="167" ht="18" customHeight="1" x14ac:dyDescent="0.3"/>
    <row r="168" ht="18" customHeight="1" x14ac:dyDescent="0.3"/>
    <row r="169" ht="18" customHeight="1" x14ac:dyDescent="0.3"/>
    <row r="170" ht="18" customHeight="1" x14ac:dyDescent="0.3"/>
    <row r="171" ht="18" customHeight="1" x14ac:dyDescent="0.3"/>
    <row r="172" ht="18" customHeight="1" x14ac:dyDescent="0.3"/>
    <row r="173" ht="18" customHeight="1" x14ac:dyDescent="0.3"/>
    <row r="174" ht="18" customHeight="1" x14ac:dyDescent="0.3"/>
    <row r="175" ht="18" customHeight="1" x14ac:dyDescent="0.3"/>
    <row r="176" ht="18" customHeight="1" x14ac:dyDescent="0.3"/>
    <row r="177" ht="18" customHeight="1" x14ac:dyDescent="0.3"/>
    <row r="178" ht="18" customHeight="1" x14ac:dyDescent="0.3"/>
    <row r="179" ht="18" customHeight="1" x14ac:dyDescent="0.3"/>
    <row r="180" ht="18" customHeight="1" x14ac:dyDescent="0.3"/>
    <row r="181" ht="18" customHeight="1" x14ac:dyDescent="0.3"/>
    <row r="182" ht="18" customHeight="1" x14ac:dyDescent="0.3"/>
    <row r="183" ht="18" customHeight="1" x14ac:dyDescent="0.3"/>
    <row r="184" ht="18" customHeight="1" x14ac:dyDescent="0.3"/>
    <row r="185" ht="18" customHeight="1" x14ac:dyDescent="0.3"/>
    <row r="186" ht="18" customHeight="1" x14ac:dyDescent="0.3"/>
    <row r="187" ht="18" customHeight="1" x14ac:dyDescent="0.3"/>
    <row r="188" ht="18" customHeight="1" x14ac:dyDescent="0.3"/>
    <row r="189" ht="18" customHeight="1" x14ac:dyDescent="0.3"/>
    <row r="190" ht="18" customHeight="1" x14ac:dyDescent="0.3"/>
    <row r="191" ht="18" customHeight="1" x14ac:dyDescent="0.3"/>
    <row r="192" ht="18" customHeight="1" x14ac:dyDescent="0.3"/>
    <row r="193" ht="18" customHeight="1" x14ac:dyDescent="0.3"/>
    <row r="194" ht="18" customHeight="1" x14ac:dyDescent="0.3"/>
    <row r="195" ht="18" customHeight="1" x14ac:dyDescent="0.3"/>
    <row r="196" ht="18" customHeight="1" x14ac:dyDescent="0.3"/>
    <row r="197" ht="18" customHeight="1" x14ac:dyDescent="0.3"/>
    <row r="198" ht="18" customHeight="1" x14ac:dyDescent="0.3"/>
    <row r="199" ht="18" customHeight="1" x14ac:dyDescent="0.3"/>
    <row r="200" ht="18" customHeight="1" x14ac:dyDescent="0.3"/>
    <row r="201" ht="18" customHeight="1" x14ac:dyDescent="0.3"/>
    <row r="202" ht="18" customHeight="1" x14ac:dyDescent="0.3"/>
    <row r="203" ht="18" customHeight="1" x14ac:dyDescent="0.3"/>
    <row r="204" ht="18" customHeight="1" x14ac:dyDescent="0.3"/>
    <row r="205" ht="18" customHeight="1" x14ac:dyDescent="0.3"/>
    <row r="206" ht="18" customHeight="1" x14ac:dyDescent="0.3"/>
    <row r="207" ht="18" customHeight="1" x14ac:dyDescent="0.3"/>
    <row r="208" ht="18" customHeight="1" x14ac:dyDescent="0.3"/>
    <row r="209" ht="18" customHeight="1" x14ac:dyDescent="0.3"/>
    <row r="210" ht="18" customHeight="1" x14ac:dyDescent="0.3"/>
    <row r="211" ht="18" customHeight="1" x14ac:dyDescent="0.3"/>
    <row r="212" ht="18" customHeight="1" x14ac:dyDescent="0.3"/>
    <row r="213" ht="18" customHeight="1" x14ac:dyDescent="0.3"/>
    <row r="214" ht="18" customHeight="1" x14ac:dyDescent="0.3"/>
    <row r="215" ht="18" customHeight="1" x14ac:dyDescent="0.3"/>
    <row r="216" ht="18" customHeight="1" x14ac:dyDescent="0.3"/>
    <row r="217" ht="18" customHeight="1" x14ac:dyDescent="0.3"/>
    <row r="218" ht="18" customHeight="1" x14ac:dyDescent="0.3"/>
    <row r="219" ht="18" customHeight="1" x14ac:dyDescent="0.3"/>
    <row r="220" ht="18" customHeight="1" x14ac:dyDescent="0.3"/>
    <row r="221" ht="18" customHeight="1" x14ac:dyDescent="0.3"/>
    <row r="222" ht="18" customHeight="1" x14ac:dyDescent="0.3"/>
    <row r="223" ht="18" customHeight="1" x14ac:dyDescent="0.3"/>
    <row r="224" ht="18" customHeight="1" x14ac:dyDescent="0.3"/>
    <row r="225" ht="18" customHeight="1" x14ac:dyDescent="0.3"/>
    <row r="226" ht="18" customHeight="1" x14ac:dyDescent="0.3"/>
    <row r="227" ht="18" customHeight="1" x14ac:dyDescent="0.3"/>
    <row r="228" ht="18" customHeight="1" x14ac:dyDescent="0.3"/>
    <row r="229" ht="18" customHeight="1" x14ac:dyDescent="0.3"/>
    <row r="230" ht="18" customHeight="1" x14ac:dyDescent="0.3"/>
    <row r="231" ht="18" customHeight="1" x14ac:dyDescent="0.3"/>
    <row r="232" ht="18" customHeight="1" x14ac:dyDescent="0.3"/>
    <row r="233" ht="18" customHeight="1" x14ac:dyDescent="0.3"/>
    <row r="234" ht="18" customHeight="1" x14ac:dyDescent="0.3"/>
    <row r="235" ht="18" customHeight="1" x14ac:dyDescent="0.3"/>
    <row r="236" ht="18" customHeight="1" x14ac:dyDescent="0.3"/>
    <row r="237" ht="18" customHeight="1" x14ac:dyDescent="0.3"/>
    <row r="238" ht="18" customHeight="1" x14ac:dyDescent="0.3"/>
    <row r="239" ht="18" customHeight="1" x14ac:dyDescent="0.3"/>
    <row r="240" ht="18" customHeight="1" x14ac:dyDescent="0.3"/>
    <row r="241" ht="18" customHeight="1" x14ac:dyDescent="0.3"/>
    <row r="242" ht="18" customHeight="1" x14ac:dyDescent="0.3"/>
    <row r="243" ht="18" customHeight="1" x14ac:dyDescent="0.3"/>
    <row r="244" ht="18" customHeight="1" x14ac:dyDescent="0.3"/>
    <row r="245" ht="18" customHeight="1" x14ac:dyDescent="0.3"/>
    <row r="246" ht="18" customHeight="1" x14ac:dyDescent="0.3"/>
    <row r="247" ht="18" customHeight="1" x14ac:dyDescent="0.3"/>
    <row r="248" ht="18" customHeight="1" x14ac:dyDescent="0.3"/>
    <row r="249" ht="18" customHeight="1" x14ac:dyDescent="0.3"/>
    <row r="250" ht="18" customHeight="1" x14ac:dyDescent="0.3"/>
    <row r="251" ht="18" customHeight="1" x14ac:dyDescent="0.3"/>
    <row r="252" ht="18" customHeight="1" x14ac:dyDescent="0.3"/>
    <row r="253" ht="18" customHeight="1" x14ac:dyDescent="0.3"/>
    <row r="254" ht="18" customHeight="1" x14ac:dyDescent="0.3"/>
    <row r="255" ht="18" customHeight="1" x14ac:dyDescent="0.3"/>
    <row r="256" ht="18" customHeight="1" x14ac:dyDescent="0.3"/>
    <row r="257" ht="18" customHeight="1" x14ac:dyDescent="0.3"/>
    <row r="258" ht="18" customHeight="1" x14ac:dyDescent="0.3"/>
    <row r="259" ht="18" customHeight="1" x14ac:dyDescent="0.3"/>
    <row r="260" ht="18" customHeight="1" x14ac:dyDescent="0.3"/>
    <row r="261" ht="18" customHeight="1" x14ac:dyDescent="0.3"/>
    <row r="262" ht="18" customHeight="1" x14ac:dyDescent="0.3"/>
    <row r="263" ht="18" customHeight="1" x14ac:dyDescent="0.3"/>
    <row r="264" ht="18" customHeight="1" x14ac:dyDescent="0.3"/>
    <row r="265" ht="18" customHeight="1" x14ac:dyDescent="0.3"/>
    <row r="266" ht="18" customHeight="1" x14ac:dyDescent="0.3"/>
    <row r="267" ht="18" customHeight="1" x14ac:dyDescent="0.3"/>
    <row r="268" ht="18" customHeight="1" x14ac:dyDescent="0.3"/>
    <row r="269" ht="18" customHeight="1" x14ac:dyDescent="0.3"/>
    <row r="270" ht="18" customHeight="1" x14ac:dyDescent="0.3"/>
    <row r="271" ht="18" customHeight="1" x14ac:dyDescent="0.3"/>
    <row r="272" ht="18" customHeight="1" x14ac:dyDescent="0.3"/>
    <row r="273" ht="18" customHeight="1" x14ac:dyDescent="0.3"/>
    <row r="274" ht="18" customHeight="1" x14ac:dyDescent="0.3"/>
    <row r="275" ht="18" customHeight="1" x14ac:dyDescent="0.3"/>
    <row r="276" ht="18" customHeight="1" x14ac:dyDescent="0.3"/>
    <row r="277" ht="18" customHeight="1" x14ac:dyDescent="0.3"/>
    <row r="278" ht="18" customHeight="1" x14ac:dyDescent="0.3"/>
    <row r="279" ht="18" customHeight="1" x14ac:dyDescent="0.3"/>
    <row r="280" ht="18" customHeight="1" x14ac:dyDescent="0.3"/>
    <row r="281" ht="18" customHeight="1" x14ac:dyDescent="0.3"/>
    <row r="282" ht="18" customHeight="1" x14ac:dyDescent="0.3"/>
    <row r="283" ht="18" customHeight="1" x14ac:dyDescent="0.3"/>
    <row r="284" ht="18" customHeight="1" x14ac:dyDescent="0.3"/>
    <row r="285" ht="18" customHeight="1" x14ac:dyDescent="0.3"/>
    <row r="286" ht="18" customHeight="1" x14ac:dyDescent="0.3"/>
    <row r="287" ht="18" customHeight="1" x14ac:dyDescent="0.3"/>
    <row r="288" ht="18" customHeight="1" x14ac:dyDescent="0.3"/>
    <row r="289" ht="18" customHeight="1" x14ac:dyDescent="0.3"/>
    <row r="290" ht="18" customHeight="1" x14ac:dyDescent="0.3"/>
    <row r="291" ht="18" customHeight="1" x14ac:dyDescent="0.3"/>
    <row r="292" ht="18" customHeight="1" x14ac:dyDescent="0.3"/>
    <row r="293" ht="18" customHeight="1" x14ac:dyDescent="0.3"/>
    <row r="294" ht="18" customHeight="1" x14ac:dyDescent="0.3"/>
    <row r="295" ht="18" customHeight="1" x14ac:dyDescent="0.3"/>
    <row r="296" ht="18" customHeight="1" x14ac:dyDescent="0.3"/>
    <row r="297" ht="18" customHeight="1" x14ac:dyDescent="0.3"/>
    <row r="298" ht="18" customHeight="1" x14ac:dyDescent="0.3"/>
    <row r="299" ht="18" customHeight="1" x14ac:dyDescent="0.3"/>
    <row r="300" ht="18" customHeight="1" x14ac:dyDescent="0.3"/>
    <row r="301" ht="18" customHeight="1" x14ac:dyDescent="0.3"/>
    <row r="302" ht="18" customHeight="1" x14ac:dyDescent="0.3"/>
    <row r="303" ht="18" customHeight="1" x14ac:dyDescent="0.3"/>
    <row r="304" ht="18" customHeight="1" x14ac:dyDescent="0.3"/>
  </sheetData>
  <sheetProtection selectLockedCells="1"/>
  <phoneticPr fontId="1" type="noConversion"/>
  <conditionalFormatting sqref="I11:I33 F11:F16">
    <cfRule type="cellIs" dxfId="450" priority="2" operator="equal">
      <formula>"No modificar"</formula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0.39997558519241921"/>
  </sheetPr>
  <dimension ref="A1:AV178"/>
  <sheetViews>
    <sheetView showGridLines="0" zoomScaleNormal="100" workbookViewId="0">
      <pane ySplit="5" topLeftCell="A6" activePane="bottomLeft" state="frozen"/>
      <selection activeCell="B11" sqref="B11"/>
      <selection pane="bottomLeft" activeCell="H11" sqref="H11"/>
    </sheetView>
  </sheetViews>
  <sheetFormatPr baseColWidth="10" defaultRowHeight="16.2" customHeight="1" x14ac:dyDescent="0.3"/>
  <cols>
    <col min="1" max="1" width="0.6640625" style="44" customWidth="1"/>
    <col min="2" max="2" width="27.77734375" style="44" customWidth="1"/>
    <col min="3" max="3" width="1.33203125" customWidth="1"/>
    <col min="4" max="4" width="12.77734375" customWidth="1"/>
    <col min="5" max="5" width="29.33203125" customWidth="1"/>
    <col min="6" max="6" width="30.6640625" customWidth="1"/>
    <col min="7" max="7" width="12.33203125" customWidth="1"/>
    <col min="8" max="8" width="48.6640625" customWidth="1"/>
    <col min="9" max="9" width="11.44140625" customWidth="1"/>
    <col min="10" max="10" width="7.33203125" customWidth="1"/>
  </cols>
  <sheetData>
    <row r="1" spans="1:48" s="4" customFormat="1" ht="24.45" customHeight="1" x14ac:dyDescent="0.45">
      <c r="A1" s="56"/>
      <c r="B1" s="56" t="s">
        <v>54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</row>
    <row r="2" spans="1:48" ht="63" customHeight="1" x14ac:dyDescent="0.3"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</row>
    <row r="3" spans="1:48" ht="18.45" customHeight="1" x14ac:dyDescent="0.3"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</row>
    <row r="4" spans="1:48" ht="45.45" customHeight="1" x14ac:dyDescent="0.3"/>
    <row r="5" spans="1:48" ht="16.2" customHeight="1" x14ac:dyDescent="0.3">
      <c r="D5" s="3" t="s">
        <v>18</v>
      </c>
      <c r="E5" t="s">
        <v>13</v>
      </c>
      <c r="F5" t="s">
        <v>14</v>
      </c>
      <c r="G5" s="1" t="s">
        <v>38</v>
      </c>
      <c r="H5" t="s">
        <v>15</v>
      </c>
      <c r="I5" s="2" t="s">
        <v>60</v>
      </c>
      <c r="J5" t="s">
        <v>46</v>
      </c>
    </row>
    <row r="6" spans="1:48" ht="16.2" customHeight="1" x14ac:dyDescent="0.3">
      <c r="D6" s="36">
        <v>44137</v>
      </c>
      <c r="E6" t="s">
        <v>40</v>
      </c>
      <c r="F6" s="37" t="s">
        <v>10</v>
      </c>
      <c r="G6" s="38">
        <v>2000</v>
      </c>
      <c r="I6" s="39" t="str">
        <f>TEXT(tbl_diario[[#This Row],[Fecha]],"mmm")</f>
        <v>nov</v>
      </c>
      <c r="J6" s="39">
        <f>YEAR(tbl_diario[[#This Row],[Fecha]])</f>
        <v>2020</v>
      </c>
    </row>
    <row r="7" spans="1:48" ht="16.2" customHeight="1" x14ac:dyDescent="0.3">
      <c r="D7" s="36">
        <v>44166</v>
      </c>
      <c r="E7" t="s">
        <v>36</v>
      </c>
      <c r="F7" s="37" t="s">
        <v>3</v>
      </c>
      <c r="G7" s="38">
        <v>-70</v>
      </c>
      <c r="I7" s="39" t="str">
        <f>TEXT(tbl_diario[[#This Row],[Fecha]],"mmm")</f>
        <v>dic</v>
      </c>
      <c r="J7" s="39">
        <f>YEAR(tbl_diario[[#This Row],[Fecha]])</f>
        <v>2020</v>
      </c>
    </row>
    <row r="8" spans="1:48" ht="16.2" customHeight="1" x14ac:dyDescent="0.3">
      <c r="D8" s="36">
        <v>44167</v>
      </c>
      <c r="E8" t="s">
        <v>37</v>
      </c>
      <c r="F8" t="s">
        <v>10</v>
      </c>
      <c r="G8" s="31">
        <v>-110</v>
      </c>
      <c r="I8" s="32" t="str">
        <f>TEXT(tbl_diario[[#This Row],[Fecha]],"mmm")</f>
        <v>dic</v>
      </c>
      <c r="J8" s="32">
        <f>YEAR(tbl_diario[[#This Row],[Fecha]])</f>
        <v>2020</v>
      </c>
    </row>
    <row r="9" spans="1:48" ht="16.2" customHeight="1" x14ac:dyDescent="0.3">
      <c r="D9" s="36">
        <v>44167</v>
      </c>
      <c r="E9" t="s">
        <v>36</v>
      </c>
      <c r="F9" s="37" t="s">
        <v>5</v>
      </c>
      <c r="G9" s="38">
        <v>-105</v>
      </c>
      <c r="I9" s="39" t="str">
        <f>TEXT(tbl_diario[[#This Row],[Fecha]],"mmm")</f>
        <v>dic</v>
      </c>
      <c r="J9" s="39">
        <f>YEAR(tbl_diario[[#This Row],[Fecha]])</f>
        <v>2020</v>
      </c>
    </row>
    <row r="10" spans="1:48" ht="16.2" customHeight="1" x14ac:dyDescent="0.3">
      <c r="D10" s="36">
        <v>44167</v>
      </c>
      <c r="E10" t="s">
        <v>35</v>
      </c>
      <c r="F10" s="37" t="s">
        <v>16</v>
      </c>
      <c r="G10" s="38">
        <v>1400</v>
      </c>
      <c r="I10" s="39" t="str">
        <f>TEXT(tbl_diario[[#This Row],[Fecha]],"mmm")</f>
        <v>dic</v>
      </c>
      <c r="J10" s="39">
        <f>YEAR(tbl_diario[[#This Row],[Fecha]])</f>
        <v>2020</v>
      </c>
    </row>
    <row r="11" spans="1:48" ht="16.2" customHeight="1" x14ac:dyDescent="0.3">
      <c r="D11" s="36">
        <v>44167</v>
      </c>
      <c r="E11" t="s">
        <v>36</v>
      </c>
      <c r="F11" s="37" t="s">
        <v>7</v>
      </c>
      <c r="G11" s="38">
        <v>-220</v>
      </c>
      <c r="I11" s="39" t="str">
        <f>TEXT(tbl_diario[[#This Row],[Fecha]],"mmm")</f>
        <v>dic</v>
      </c>
      <c r="J11" s="39">
        <f>YEAR(tbl_diario[[#This Row],[Fecha]])</f>
        <v>2020</v>
      </c>
    </row>
    <row r="12" spans="1:48" ht="16.2" customHeight="1" x14ac:dyDescent="0.3">
      <c r="D12" s="36">
        <v>44167</v>
      </c>
      <c r="E12" t="s">
        <v>37</v>
      </c>
      <c r="F12" s="37" t="s">
        <v>43</v>
      </c>
      <c r="G12" s="38">
        <v>-40</v>
      </c>
      <c r="I12" s="39" t="str">
        <f>TEXT(tbl_diario[[#This Row],[Fecha]],"mmm")</f>
        <v>dic</v>
      </c>
      <c r="J12" s="39">
        <f>YEAR(tbl_diario[[#This Row],[Fecha]])</f>
        <v>2020</v>
      </c>
    </row>
    <row r="13" spans="1:48" ht="16.2" customHeight="1" x14ac:dyDescent="0.3">
      <c r="D13" s="36">
        <v>44167</v>
      </c>
      <c r="E13" t="s">
        <v>37</v>
      </c>
      <c r="F13" s="37" t="s">
        <v>6</v>
      </c>
      <c r="G13" s="38">
        <v>-3</v>
      </c>
      <c r="I13" s="39" t="str">
        <f>TEXT(tbl_diario[[#This Row],[Fecha]],"mmm")</f>
        <v>dic</v>
      </c>
      <c r="J13" s="39">
        <f>YEAR(tbl_diario[[#This Row],[Fecha]])</f>
        <v>2020</v>
      </c>
    </row>
    <row r="14" spans="1:48" ht="16.2" customHeight="1" x14ac:dyDescent="0.3">
      <c r="D14" s="36">
        <v>44167</v>
      </c>
      <c r="E14" t="s">
        <v>36</v>
      </c>
      <c r="F14" s="37" t="s">
        <v>4</v>
      </c>
      <c r="G14" s="38">
        <v>-39.97</v>
      </c>
      <c r="I14" s="39" t="str">
        <f>TEXT(tbl_diario[[#This Row],[Fecha]],"mmm")</f>
        <v>dic</v>
      </c>
      <c r="J14" s="39">
        <f>YEAR(tbl_diario[[#This Row],[Fecha]])</f>
        <v>2020</v>
      </c>
    </row>
    <row r="15" spans="1:48" ht="16.2" customHeight="1" x14ac:dyDescent="0.3">
      <c r="D15" s="36">
        <v>44167</v>
      </c>
      <c r="E15" t="s">
        <v>36</v>
      </c>
      <c r="F15" s="37" t="s">
        <v>1</v>
      </c>
      <c r="G15" s="38">
        <v>-800</v>
      </c>
      <c r="H15" t="s">
        <v>61</v>
      </c>
      <c r="I15" s="39" t="str">
        <f>TEXT(tbl_diario[[#This Row],[Fecha]],"mmm")</f>
        <v>dic</v>
      </c>
      <c r="J15" s="39">
        <f>YEAR(tbl_diario[[#This Row],[Fecha]])</f>
        <v>2020</v>
      </c>
    </row>
    <row r="16" spans="1:48" ht="16.2" customHeight="1" x14ac:dyDescent="0.3">
      <c r="D16" s="36">
        <v>44168</v>
      </c>
      <c r="E16" t="s">
        <v>37</v>
      </c>
      <c r="F16" s="37" t="s">
        <v>8</v>
      </c>
      <c r="G16" s="38">
        <v>-155</v>
      </c>
      <c r="H16" t="s">
        <v>62</v>
      </c>
      <c r="I16" s="39" t="str">
        <f>TEXT(tbl_diario[[#This Row],[Fecha]],"mmm")</f>
        <v>dic</v>
      </c>
      <c r="J16" s="39">
        <f>YEAR(tbl_diario[[#This Row],[Fecha]])</f>
        <v>2020</v>
      </c>
    </row>
    <row r="17" spans="4:10" ht="16.2" customHeight="1" x14ac:dyDescent="0.3">
      <c r="D17" s="36">
        <v>44170</v>
      </c>
      <c r="E17" t="s">
        <v>37</v>
      </c>
      <c r="F17" s="37" t="s">
        <v>9</v>
      </c>
      <c r="G17" s="38">
        <v>-150</v>
      </c>
      <c r="I17" s="39" t="str">
        <f>TEXT(tbl_diario[[#This Row],[Fecha]],"mmm")</f>
        <v>dic</v>
      </c>
      <c r="J17" s="39">
        <f>YEAR(tbl_diario[[#This Row],[Fecha]])</f>
        <v>2020</v>
      </c>
    </row>
    <row r="18" spans="4:10" ht="16.2" customHeight="1" x14ac:dyDescent="0.3">
      <c r="D18" s="36">
        <v>44175</v>
      </c>
      <c r="E18" t="s">
        <v>37</v>
      </c>
      <c r="F18" s="37" t="s">
        <v>44</v>
      </c>
      <c r="G18" s="38">
        <v>-100</v>
      </c>
      <c r="I18" s="39" t="str">
        <f>TEXT(tbl_diario[[#This Row],[Fecha]],"mmm")</f>
        <v>dic</v>
      </c>
      <c r="J18" s="39">
        <f>YEAR(tbl_diario[[#This Row],[Fecha]])</f>
        <v>2020</v>
      </c>
    </row>
    <row r="19" spans="4:10" ht="16.2" customHeight="1" x14ac:dyDescent="0.3">
      <c r="D19" s="36">
        <v>44197</v>
      </c>
      <c r="E19" t="s">
        <v>36</v>
      </c>
      <c r="F19" s="37" t="s">
        <v>3</v>
      </c>
      <c r="G19" s="38">
        <v>-65</v>
      </c>
      <c r="I19" s="39" t="str">
        <f>TEXT(tbl_diario[[#This Row],[Fecha]],"mmm")</f>
        <v>ene</v>
      </c>
      <c r="J19" s="39">
        <f>YEAR(tbl_diario[[#This Row],[Fecha]])</f>
        <v>2021</v>
      </c>
    </row>
    <row r="20" spans="4:10" ht="16.2" customHeight="1" x14ac:dyDescent="0.3">
      <c r="D20" s="36">
        <v>44198</v>
      </c>
      <c r="E20" t="s">
        <v>37</v>
      </c>
      <c r="F20" s="37" t="s">
        <v>10</v>
      </c>
      <c r="G20" s="38">
        <v>-25</v>
      </c>
      <c r="I20" s="39" t="str">
        <f>TEXT(tbl_diario[[#This Row],[Fecha]],"mmm")</f>
        <v>ene</v>
      </c>
      <c r="J20" s="39">
        <f>YEAR(tbl_diario[[#This Row],[Fecha]])</f>
        <v>2021</v>
      </c>
    </row>
    <row r="21" spans="4:10" ht="16.2" customHeight="1" x14ac:dyDescent="0.3">
      <c r="D21" s="36">
        <v>44198</v>
      </c>
      <c r="E21" t="s">
        <v>36</v>
      </c>
      <c r="F21" s="37" t="s">
        <v>5</v>
      </c>
      <c r="G21" s="38">
        <v>-160</v>
      </c>
      <c r="I21" s="39" t="str">
        <f>TEXT(tbl_diario[[#This Row],[Fecha]],"mmm")</f>
        <v>ene</v>
      </c>
      <c r="J21" s="39">
        <f>YEAR(tbl_diario[[#This Row],[Fecha]])</f>
        <v>2021</v>
      </c>
    </row>
    <row r="22" spans="4:10" ht="16.2" customHeight="1" x14ac:dyDescent="0.3">
      <c r="D22" s="36">
        <v>44198</v>
      </c>
      <c r="E22" t="s">
        <v>35</v>
      </c>
      <c r="F22" s="37" t="s">
        <v>16</v>
      </c>
      <c r="G22" s="38">
        <v>1400</v>
      </c>
      <c r="I22" s="39" t="str">
        <f>TEXT(tbl_diario[[#This Row],[Fecha]],"mmm")</f>
        <v>ene</v>
      </c>
      <c r="J22" s="39">
        <f>YEAR(tbl_diario[[#This Row],[Fecha]])</f>
        <v>2021</v>
      </c>
    </row>
    <row r="23" spans="4:10" ht="16.2" customHeight="1" x14ac:dyDescent="0.3">
      <c r="D23" s="36">
        <v>44198</v>
      </c>
      <c r="E23" t="s">
        <v>36</v>
      </c>
      <c r="F23" s="37" t="s">
        <v>7</v>
      </c>
      <c r="G23" s="38">
        <v>-200</v>
      </c>
      <c r="I23" s="39" t="str">
        <f>TEXT(tbl_diario[[#This Row],[Fecha]],"mmm")</f>
        <v>ene</v>
      </c>
      <c r="J23" s="39">
        <f>YEAR(tbl_diario[[#This Row],[Fecha]])</f>
        <v>2021</v>
      </c>
    </row>
    <row r="24" spans="4:10" ht="16.2" customHeight="1" x14ac:dyDescent="0.3">
      <c r="D24" s="36">
        <v>44198</v>
      </c>
      <c r="E24" t="s">
        <v>36</v>
      </c>
      <c r="F24" s="37" t="s">
        <v>11</v>
      </c>
      <c r="G24" s="38">
        <v>-250</v>
      </c>
      <c r="I24" s="39" t="str">
        <f>TEXT(tbl_diario[[#This Row],[Fecha]],"mmm")</f>
        <v>ene</v>
      </c>
      <c r="J24" s="39">
        <f>YEAR(tbl_diario[[#This Row],[Fecha]])</f>
        <v>2021</v>
      </c>
    </row>
    <row r="25" spans="4:10" ht="16.2" customHeight="1" x14ac:dyDescent="0.3">
      <c r="D25" s="36">
        <v>44198</v>
      </c>
      <c r="E25" t="s">
        <v>37</v>
      </c>
      <c r="F25" s="37" t="s">
        <v>6</v>
      </c>
      <c r="G25" s="38">
        <v>-3</v>
      </c>
      <c r="I25" s="39" t="str">
        <f>TEXT(tbl_diario[[#This Row],[Fecha]],"mmm")</f>
        <v>ene</v>
      </c>
      <c r="J25" s="39">
        <f>YEAR(tbl_diario[[#This Row],[Fecha]])</f>
        <v>2021</v>
      </c>
    </row>
    <row r="26" spans="4:10" ht="16.2" customHeight="1" x14ac:dyDescent="0.3">
      <c r="D26" s="36">
        <v>44198</v>
      </c>
      <c r="E26" t="s">
        <v>36</v>
      </c>
      <c r="F26" s="37" t="s">
        <v>4</v>
      </c>
      <c r="G26" s="38">
        <v>-39.97</v>
      </c>
      <c r="I26" s="39" t="str">
        <f>TEXT(tbl_diario[[#This Row],[Fecha]],"mmm")</f>
        <v>ene</v>
      </c>
      <c r="J26" s="39">
        <f>YEAR(tbl_diario[[#This Row],[Fecha]])</f>
        <v>2021</v>
      </c>
    </row>
    <row r="27" spans="4:10" ht="16.2" customHeight="1" x14ac:dyDescent="0.3">
      <c r="D27" s="36">
        <v>44198</v>
      </c>
      <c r="E27" t="s">
        <v>36</v>
      </c>
      <c r="F27" s="37" t="s">
        <v>1</v>
      </c>
      <c r="G27" s="38">
        <v>-400</v>
      </c>
      <c r="I27" s="39" t="str">
        <f>TEXT(tbl_diario[[#This Row],[Fecha]],"mmm")</f>
        <v>ene</v>
      </c>
      <c r="J27" s="39">
        <f>YEAR(tbl_diario[[#This Row],[Fecha]])</f>
        <v>2021</v>
      </c>
    </row>
    <row r="28" spans="4:10" ht="16.2" customHeight="1" x14ac:dyDescent="0.3">
      <c r="D28" s="36">
        <v>44228</v>
      </c>
      <c r="E28" t="s">
        <v>36</v>
      </c>
      <c r="F28" s="37" t="s">
        <v>3</v>
      </c>
      <c r="G28" s="38">
        <v>-65</v>
      </c>
      <c r="I28" s="39" t="str">
        <f>TEXT(tbl_diario[[#This Row],[Fecha]],"mmm")</f>
        <v>feb</v>
      </c>
      <c r="J28" s="39">
        <f>YEAR(tbl_diario[[#This Row],[Fecha]])</f>
        <v>2021</v>
      </c>
    </row>
    <row r="29" spans="4:10" ht="16.2" customHeight="1" x14ac:dyDescent="0.3">
      <c r="D29" s="36">
        <v>44229</v>
      </c>
      <c r="E29" t="s">
        <v>36</v>
      </c>
      <c r="F29" s="37" t="s">
        <v>58</v>
      </c>
      <c r="G29" s="38">
        <v>-200</v>
      </c>
      <c r="I29" s="39" t="str">
        <f>TEXT(tbl_diario[[#This Row],[Fecha]],"mmm")</f>
        <v>feb</v>
      </c>
      <c r="J29" s="39">
        <f>YEAR(tbl_diario[[#This Row],[Fecha]])</f>
        <v>2021</v>
      </c>
    </row>
    <row r="30" spans="4:10" ht="16.2" customHeight="1" x14ac:dyDescent="0.3">
      <c r="D30" s="36">
        <v>44229</v>
      </c>
      <c r="E30" t="s">
        <v>36</v>
      </c>
      <c r="F30" s="37" t="s">
        <v>5</v>
      </c>
      <c r="G30" s="38">
        <v>-90</v>
      </c>
      <c r="I30" s="39" t="str">
        <f>TEXT(tbl_diario[[#This Row],[Fecha]],"mmm")</f>
        <v>feb</v>
      </c>
      <c r="J30" s="39">
        <f>YEAR(tbl_diario[[#This Row],[Fecha]])</f>
        <v>2021</v>
      </c>
    </row>
    <row r="31" spans="4:10" ht="16.2" customHeight="1" x14ac:dyDescent="0.3">
      <c r="D31" s="36">
        <v>44229</v>
      </c>
      <c r="E31" t="s">
        <v>35</v>
      </c>
      <c r="F31" s="37" t="s">
        <v>16</v>
      </c>
      <c r="G31" s="38">
        <v>1400</v>
      </c>
      <c r="I31" s="39" t="str">
        <f>TEXT(tbl_diario[[#This Row],[Fecha]],"mmm")</f>
        <v>feb</v>
      </c>
      <c r="J31" s="39">
        <f>YEAR(tbl_diario[[#This Row],[Fecha]])</f>
        <v>2021</v>
      </c>
    </row>
    <row r="32" spans="4:10" ht="16.2" customHeight="1" x14ac:dyDescent="0.3">
      <c r="D32" s="36">
        <v>44229</v>
      </c>
      <c r="E32" t="s">
        <v>36</v>
      </c>
      <c r="F32" s="37" t="s">
        <v>7</v>
      </c>
      <c r="G32" s="38">
        <v>-190</v>
      </c>
      <c r="I32" s="39" t="str">
        <f>TEXT(tbl_diario[[#This Row],[Fecha]],"mmm")</f>
        <v>feb</v>
      </c>
      <c r="J32" s="39">
        <f>YEAR(tbl_diario[[#This Row],[Fecha]])</f>
        <v>2021</v>
      </c>
    </row>
    <row r="33" spans="4:10" ht="16.2" customHeight="1" x14ac:dyDescent="0.3">
      <c r="D33" s="36">
        <v>44229</v>
      </c>
      <c r="E33" t="s">
        <v>37</v>
      </c>
      <c r="F33" s="37" t="s">
        <v>43</v>
      </c>
      <c r="G33" s="38">
        <v>-40</v>
      </c>
      <c r="I33" s="39" t="str">
        <f>TEXT(tbl_diario[[#This Row],[Fecha]],"mmm")</f>
        <v>feb</v>
      </c>
      <c r="J33" s="39">
        <f>YEAR(tbl_diario[[#This Row],[Fecha]])</f>
        <v>2021</v>
      </c>
    </row>
    <row r="34" spans="4:10" ht="16.2" customHeight="1" x14ac:dyDescent="0.3">
      <c r="D34" s="36">
        <v>44229</v>
      </c>
      <c r="E34" t="s">
        <v>36</v>
      </c>
      <c r="F34" s="37" t="s">
        <v>11</v>
      </c>
      <c r="G34" s="38">
        <v>-250</v>
      </c>
      <c r="I34" s="39" t="str">
        <f>TEXT(tbl_diario[[#This Row],[Fecha]],"mmm")</f>
        <v>feb</v>
      </c>
      <c r="J34" s="39">
        <f>YEAR(tbl_diario[[#This Row],[Fecha]])</f>
        <v>2021</v>
      </c>
    </row>
    <row r="35" spans="4:10" ht="16.2" customHeight="1" x14ac:dyDescent="0.3">
      <c r="D35" s="36">
        <v>44229</v>
      </c>
      <c r="E35" t="s">
        <v>37</v>
      </c>
      <c r="F35" s="37" t="s">
        <v>6</v>
      </c>
      <c r="G35" s="38">
        <v>-3</v>
      </c>
      <c r="I35" s="39" t="str">
        <f>TEXT(tbl_diario[[#This Row],[Fecha]],"mmm")</f>
        <v>feb</v>
      </c>
      <c r="J35" s="39">
        <f>YEAR(tbl_diario[[#This Row],[Fecha]])</f>
        <v>2021</v>
      </c>
    </row>
    <row r="36" spans="4:10" ht="16.2" customHeight="1" x14ac:dyDescent="0.3">
      <c r="D36" s="36">
        <v>44229</v>
      </c>
      <c r="E36" t="s">
        <v>36</v>
      </c>
      <c r="F36" s="37" t="s">
        <v>4</v>
      </c>
      <c r="G36" s="38">
        <v>-39.97</v>
      </c>
      <c r="I36" s="39" t="str">
        <f>TEXT(tbl_diario[[#This Row],[Fecha]],"mmm")</f>
        <v>feb</v>
      </c>
      <c r="J36" s="39">
        <f>YEAR(tbl_diario[[#This Row],[Fecha]])</f>
        <v>2021</v>
      </c>
    </row>
    <row r="37" spans="4:10" ht="16.2" customHeight="1" x14ac:dyDescent="0.3">
      <c r="D37" s="36">
        <v>44229</v>
      </c>
      <c r="E37" t="s">
        <v>36</v>
      </c>
      <c r="F37" s="37" t="s">
        <v>1</v>
      </c>
      <c r="G37" s="38">
        <v>-400</v>
      </c>
      <c r="I37" s="39" t="str">
        <f>TEXT(tbl_diario[[#This Row],[Fecha]],"mmm")</f>
        <v>feb</v>
      </c>
      <c r="J37" s="39">
        <f>YEAR(tbl_diario[[#This Row],[Fecha]])</f>
        <v>2021</v>
      </c>
    </row>
    <row r="38" spans="4:10" ht="16.2" customHeight="1" x14ac:dyDescent="0.3">
      <c r="D38" s="36">
        <v>44256</v>
      </c>
      <c r="E38" t="s">
        <v>36</v>
      </c>
      <c r="F38" s="37" t="s">
        <v>3</v>
      </c>
      <c r="G38" s="38">
        <v>-60</v>
      </c>
      <c r="I38" s="39" t="str">
        <f>TEXT(tbl_diario[[#This Row],[Fecha]],"mmm")</f>
        <v>mar</v>
      </c>
      <c r="J38" s="39">
        <f>YEAR(tbl_diario[[#This Row],[Fecha]])</f>
        <v>2021</v>
      </c>
    </row>
    <row r="39" spans="4:10" ht="16.2" customHeight="1" x14ac:dyDescent="0.3">
      <c r="D39" s="36">
        <v>44257</v>
      </c>
      <c r="E39" t="s">
        <v>36</v>
      </c>
      <c r="F39" s="37" t="s">
        <v>58</v>
      </c>
      <c r="G39" s="38">
        <v>-200</v>
      </c>
      <c r="I39" s="39" t="str">
        <f>TEXT(tbl_diario[[#This Row],[Fecha]],"mmm")</f>
        <v>mar</v>
      </c>
      <c r="J39" s="39">
        <f>YEAR(tbl_diario[[#This Row],[Fecha]])</f>
        <v>2021</v>
      </c>
    </row>
    <row r="40" spans="4:10" ht="16.2" customHeight="1" x14ac:dyDescent="0.3">
      <c r="D40" s="36">
        <v>44257</v>
      </c>
      <c r="E40" t="s">
        <v>36</v>
      </c>
      <c r="F40" s="37" t="s">
        <v>5</v>
      </c>
      <c r="G40" s="38">
        <v>-40</v>
      </c>
      <c r="I40" s="39" t="str">
        <f>TEXT(tbl_diario[[#This Row],[Fecha]],"mmm")</f>
        <v>mar</v>
      </c>
      <c r="J40" s="39">
        <f>YEAR(tbl_diario[[#This Row],[Fecha]])</f>
        <v>2021</v>
      </c>
    </row>
    <row r="41" spans="4:10" ht="16.2" customHeight="1" x14ac:dyDescent="0.3">
      <c r="D41" s="36">
        <v>44257</v>
      </c>
      <c r="E41" t="s">
        <v>35</v>
      </c>
      <c r="F41" s="37" t="s">
        <v>16</v>
      </c>
      <c r="G41" s="38">
        <v>1400</v>
      </c>
      <c r="I41" s="39" t="str">
        <f>TEXT(tbl_diario[[#This Row],[Fecha]],"mmm")</f>
        <v>mar</v>
      </c>
      <c r="J41" s="39">
        <f>YEAR(tbl_diario[[#This Row],[Fecha]])</f>
        <v>2021</v>
      </c>
    </row>
    <row r="42" spans="4:10" ht="16.2" customHeight="1" x14ac:dyDescent="0.3">
      <c r="D42" s="36">
        <v>44257</v>
      </c>
      <c r="E42" t="s">
        <v>36</v>
      </c>
      <c r="F42" s="37" t="s">
        <v>7</v>
      </c>
      <c r="G42" s="38">
        <v>-200</v>
      </c>
      <c r="I42" s="39" t="str">
        <f>TEXT(tbl_diario[[#This Row],[Fecha]],"mmm")</f>
        <v>mar</v>
      </c>
      <c r="J42" s="39">
        <f>YEAR(tbl_diario[[#This Row],[Fecha]])</f>
        <v>2021</v>
      </c>
    </row>
    <row r="43" spans="4:10" ht="16.2" customHeight="1" x14ac:dyDescent="0.3">
      <c r="D43" s="36">
        <v>44257</v>
      </c>
      <c r="E43" t="s">
        <v>37</v>
      </c>
      <c r="F43" s="37" t="s">
        <v>43</v>
      </c>
      <c r="G43" s="38">
        <v>-40</v>
      </c>
      <c r="I43" s="39" t="str">
        <f>TEXT(tbl_diario[[#This Row],[Fecha]],"mmm")</f>
        <v>mar</v>
      </c>
      <c r="J43" s="39">
        <f>YEAR(tbl_diario[[#This Row],[Fecha]])</f>
        <v>2021</v>
      </c>
    </row>
    <row r="44" spans="4:10" ht="16.2" customHeight="1" x14ac:dyDescent="0.3">
      <c r="D44" s="36">
        <v>44257</v>
      </c>
      <c r="E44" t="s">
        <v>37</v>
      </c>
      <c r="F44" s="37" t="s">
        <v>6</v>
      </c>
      <c r="G44" s="38">
        <v>-3</v>
      </c>
      <c r="I44" s="39" t="str">
        <f>TEXT(tbl_diario[[#This Row],[Fecha]],"mmm")</f>
        <v>mar</v>
      </c>
      <c r="J44" s="39">
        <f>YEAR(tbl_diario[[#This Row],[Fecha]])</f>
        <v>2021</v>
      </c>
    </row>
    <row r="45" spans="4:10" ht="16.2" customHeight="1" x14ac:dyDescent="0.3">
      <c r="D45" s="36">
        <v>44257</v>
      </c>
      <c r="E45" t="s">
        <v>36</v>
      </c>
      <c r="F45" s="37" t="s">
        <v>4</v>
      </c>
      <c r="G45" s="38">
        <v>-39.97</v>
      </c>
      <c r="I45" s="39" t="str">
        <f>TEXT(tbl_diario[[#This Row],[Fecha]],"mmm")</f>
        <v>mar</v>
      </c>
      <c r="J45" s="39">
        <f>YEAR(tbl_diario[[#This Row],[Fecha]])</f>
        <v>2021</v>
      </c>
    </row>
    <row r="46" spans="4:10" ht="16.2" customHeight="1" x14ac:dyDescent="0.3">
      <c r="D46" s="36">
        <v>44257</v>
      </c>
      <c r="E46" t="s">
        <v>36</v>
      </c>
      <c r="F46" s="37" t="s">
        <v>1</v>
      </c>
      <c r="G46" s="38">
        <v>-400</v>
      </c>
      <c r="I46" s="39" t="str">
        <f>TEXT(tbl_diario[[#This Row],[Fecha]],"mmm")</f>
        <v>mar</v>
      </c>
      <c r="J46" s="39">
        <f>YEAR(tbl_diario[[#This Row],[Fecha]])</f>
        <v>2021</v>
      </c>
    </row>
    <row r="47" spans="4:10" ht="16.2" customHeight="1" x14ac:dyDescent="0.3">
      <c r="D47" s="36">
        <v>44287</v>
      </c>
      <c r="E47" t="s">
        <v>36</v>
      </c>
      <c r="F47" s="37" t="s">
        <v>3</v>
      </c>
      <c r="G47" s="38">
        <v>-60</v>
      </c>
      <c r="I47" s="39" t="str">
        <f>TEXT(tbl_diario[[#This Row],[Fecha]],"mmm")</f>
        <v>abr</v>
      </c>
      <c r="J47" s="39">
        <f>YEAR(tbl_diario[[#This Row],[Fecha]])</f>
        <v>2021</v>
      </c>
    </row>
    <row r="48" spans="4:10" ht="16.2" customHeight="1" x14ac:dyDescent="0.3">
      <c r="D48" s="36">
        <v>44288</v>
      </c>
      <c r="E48" t="s">
        <v>36</v>
      </c>
      <c r="F48" s="37" t="s">
        <v>58</v>
      </c>
      <c r="G48" s="38">
        <v>-200</v>
      </c>
      <c r="I48" s="39" t="str">
        <f>TEXT(tbl_diario[[#This Row],[Fecha]],"mmm")</f>
        <v>abr</v>
      </c>
      <c r="J48" s="39">
        <f>YEAR(tbl_diario[[#This Row],[Fecha]])</f>
        <v>2021</v>
      </c>
    </row>
    <row r="49" spans="4:10" ht="16.2" customHeight="1" x14ac:dyDescent="0.3">
      <c r="D49" s="36">
        <v>44288</v>
      </c>
      <c r="E49" t="s">
        <v>36</v>
      </c>
      <c r="F49" s="37" t="s">
        <v>5</v>
      </c>
      <c r="G49" s="38">
        <v>-115</v>
      </c>
      <c r="I49" s="39" t="str">
        <f>TEXT(tbl_diario[[#This Row],[Fecha]],"mmm")</f>
        <v>abr</v>
      </c>
      <c r="J49" s="39">
        <f>YEAR(tbl_diario[[#This Row],[Fecha]])</f>
        <v>2021</v>
      </c>
    </row>
    <row r="50" spans="4:10" ht="16.2" customHeight="1" x14ac:dyDescent="0.3">
      <c r="D50" s="36">
        <v>44288</v>
      </c>
      <c r="E50" t="s">
        <v>35</v>
      </c>
      <c r="F50" s="37" t="s">
        <v>16</v>
      </c>
      <c r="G50" s="38">
        <v>1400</v>
      </c>
      <c r="I50" s="39" t="str">
        <f>TEXT(tbl_diario[[#This Row],[Fecha]],"mmm")</f>
        <v>abr</v>
      </c>
      <c r="J50" s="39">
        <f>YEAR(tbl_diario[[#This Row],[Fecha]])</f>
        <v>2021</v>
      </c>
    </row>
    <row r="51" spans="4:10" ht="16.2" customHeight="1" x14ac:dyDescent="0.3">
      <c r="D51" s="36">
        <v>44288</v>
      </c>
      <c r="E51" t="s">
        <v>36</v>
      </c>
      <c r="F51" s="37" t="s">
        <v>7</v>
      </c>
      <c r="G51" s="38">
        <v>-205</v>
      </c>
      <c r="I51" s="39" t="str">
        <f>TEXT(tbl_diario[[#This Row],[Fecha]],"mmm")</f>
        <v>abr</v>
      </c>
      <c r="J51" s="39">
        <f>YEAR(tbl_diario[[#This Row],[Fecha]])</f>
        <v>2021</v>
      </c>
    </row>
    <row r="52" spans="4:10" ht="16.2" customHeight="1" x14ac:dyDescent="0.3">
      <c r="D52" s="36">
        <v>44288</v>
      </c>
      <c r="E52" t="s">
        <v>37</v>
      </c>
      <c r="F52" s="37" t="s">
        <v>43</v>
      </c>
      <c r="G52" s="38">
        <v>-40</v>
      </c>
      <c r="I52" s="39" t="str">
        <f>TEXT(tbl_diario[[#This Row],[Fecha]],"mmm")</f>
        <v>abr</v>
      </c>
      <c r="J52" s="39">
        <f>YEAR(tbl_diario[[#This Row],[Fecha]])</f>
        <v>2021</v>
      </c>
    </row>
    <row r="53" spans="4:10" ht="16.2" customHeight="1" x14ac:dyDescent="0.3">
      <c r="D53" s="36">
        <v>44288</v>
      </c>
      <c r="E53" t="s">
        <v>37</v>
      </c>
      <c r="F53" s="37" t="s">
        <v>6</v>
      </c>
      <c r="G53" s="38">
        <v>-3</v>
      </c>
      <c r="I53" s="39" t="str">
        <f>TEXT(tbl_diario[[#This Row],[Fecha]],"mmm")</f>
        <v>abr</v>
      </c>
      <c r="J53" s="39">
        <f>YEAR(tbl_diario[[#This Row],[Fecha]])</f>
        <v>2021</v>
      </c>
    </row>
    <row r="54" spans="4:10" ht="16.2" customHeight="1" x14ac:dyDescent="0.3">
      <c r="D54" s="36">
        <v>44288</v>
      </c>
      <c r="E54" t="s">
        <v>36</v>
      </c>
      <c r="F54" s="37" t="s">
        <v>4</v>
      </c>
      <c r="G54" s="38">
        <v>-39.97</v>
      </c>
      <c r="I54" s="39" t="str">
        <f>TEXT(tbl_diario[[#This Row],[Fecha]],"mmm")</f>
        <v>abr</v>
      </c>
      <c r="J54" s="39">
        <f>YEAR(tbl_diario[[#This Row],[Fecha]])</f>
        <v>2021</v>
      </c>
    </row>
    <row r="55" spans="4:10" ht="16.2" customHeight="1" x14ac:dyDescent="0.3">
      <c r="D55" s="36">
        <v>44288</v>
      </c>
      <c r="E55" t="s">
        <v>36</v>
      </c>
      <c r="F55" s="37" t="s">
        <v>1</v>
      </c>
      <c r="G55" s="38">
        <v>-400</v>
      </c>
      <c r="I55" s="39" t="str">
        <f>TEXT(tbl_diario[[#This Row],[Fecha]],"mmm")</f>
        <v>abr</v>
      </c>
      <c r="J55" s="39">
        <f>YEAR(tbl_diario[[#This Row],[Fecha]])</f>
        <v>2021</v>
      </c>
    </row>
    <row r="56" spans="4:10" ht="16.2" customHeight="1" x14ac:dyDescent="0.3">
      <c r="D56" s="36">
        <v>44317</v>
      </c>
      <c r="E56" t="s">
        <v>36</v>
      </c>
      <c r="F56" s="37" t="s">
        <v>3</v>
      </c>
      <c r="G56" s="38">
        <v>-60.5</v>
      </c>
      <c r="I56" s="39" t="str">
        <f>TEXT(tbl_diario[[#This Row],[Fecha]],"mmm")</f>
        <v>may</v>
      </c>
      <c r="J56" s="39">
        <f>YEAR(tbl_diario[[#This Row],[Fecha]])</f>
        <v>2021</v>
      </c>
    </row>
    <row r="57" spans="4:10" ht="16.2" customHeight="1" x14ac:dyDescent="0.3">
      <c r="D57" s="36">
        <v>44317</v>
      </c>
      <c r="E57" t="s">
        <v>36</v>
      </c>
      <c r="F57" s="37" t="s">
        <v>3</v>
      </c>
      <c r="G57" s="38">
        <v>-61.45</v>
      </c>
      <c r="I57" s="39" t="str">
        <f>TEXT(tbl_diario[[#This Row],[Fecha]],"mmm")</f>
        <v>may</v>
      </c>
      <c r="J57" s="39">
        <f>YEAR(tbl_diario[[#This Row],[Fecha]])</f>
        <v>2021</v>
      </c>
    </row>
    <row r="58" spans="4:10" ht="16.2" customHeight="1" x14ac:dyDescent="0.3">
      <c r="D58" s="36">
        <v>44318</v>
      </c>
      <c r="E58" t="s">
        <v>36</v>
      </c>
      <c r="F58" s="37" t="s">
        <v>58</v>
      </c>
      <c r="G58" s="38">
        <v>-200</v>
      </c>
      <c r="I58" s="39" t="str">
        <f>TEXT(tbl_diario[[#This Row],[Fecha]],"mmm")</f>
        <v>may</v>
      </c>
      <c r="J58" s="39">
        <f>YEAR(tbl_diario[[#This Row],[Fecha]])</f>
        <v>2021</v>
      </c>
    </row>
    <row r="59" spans="4:10" ht="16.2" customHeight="1" x14ac:dyDescent="0.3">
      <c r="D59" s="36">
        <v>44318</v>
      </c>
      <c r="E59" t="s">
        <v>36</v>
      </c>
      <c r="F59" s="37" t="s">
        <v>5</v>
      </c>
      <c r="G59" s="38">
        <v>-95</v>
      </c>
      <c r="I59" s="39" t="str">
        <f>TEXT(tbl_diario[[#This Row],[Fecha]],"mmm")</f>
        <v>may</v>
      </c>
      <c r="J59" s="39">
        <f>YEAR(tbl_diario[[#This Row],[Fecha]])</f>
        <v>2021</v>
      </c>
    </row>
    <row r="60" spans="4:10" ht="16.2" customHeight="1" x14ac:dyDescent="0.3">
      <c r="D60" s="36">
        <v>44318</v>
      </c>
      <c r="E60" t="s">
        <v>35</v>
      </c>
      <c r="F60" s="37" t="s">
        <v>16</v>
      </c>
      <c r="G60" s="38">
        <v>1400</v>
      </c>
      <c r="I60" s="39" t="str">
        <f>TEXT(tbl_diario[[#This Row],[Fecha]],"mmm")</f>
        <v>may</v>
      </c>
      <c r="J60" s="39">
        <f>YEAR(tbl_diario[[#This Row],[Fecha]])</f>
        <v>2021</v>
      </c>
    </row>
    <row r="61" spans="4:10" ht="16.2" customHeight="1" x14ac:dyDescent="0.3">
      <c r="D61" s="36">
        <v>44318</v>
      </c>
      <c r="E61" t="s">
        <v>36</v>
      </c>
      <c r="F61" s="37" t="s">
        <v>7</v>
      </c>
      <c r="G61" s="38">
        <v>-190</v>
      </c>
      <c r="I61" s="39" t="str">
        <f>TEXT(tbl_diario[[#This Row],[Fecha]],"mmm")</f>
        <v>may</v>
      </c>
      <c r="J61" s="39">
        <f>YEAR(tbl_diario[[#This Row],[Fecha]])</f>
        <v>2021</v>
      </c>
    </row>
    <row r="62" spans="4:10" ht="16.2" customHeight="1" x14ac:dyDescent="0.3">
      <c r="D62" s="36">
        <v>44318</v>
      </c>
      <c r="E62" t="s">
        <v>36</v>
      </c>
      <c r="F62" s="37" t="s">
        <v>7</v>
      </c>
      <c r="G62" s="38">
        <v>-260</v>
      </c>
      <c r="I62" s="39" t="str">
        <f>TEXT(tbl_diario[[#This Row],[Fecha]],"mmm")</f>
        <v>may</v>
      </c>
      <c r="J62" s="39">
        <f>YEAR(tbl_diario[[#This Row],[Fecha]])</f>
        <v>2021</v>
      </c>
    </row>
    <row r="63" spans="4:10" ht="16.2" customHeight="1" x14ac:dyDescent="0.3">
      <c r="D63" s="36">
        <v>44318</v>
      </c>
      <c r="E63" t="s">
        <v>36</v>
      </c>
      <c r="F63" s="37" t="s">
        <v>4</v>
      </c>
      <c r="G63" s="38">
        <v>-39.97</v>
      </c>
      <c r="I63" s="39" t="str">
        <f>TEXT(tbl_diario[[#This Row],[Fecha]],"mmm")</f>
        <v>may</v>
      </c>
      <c r="J63" s="39">
        <f>YEAR(tbl_diario[[#This Row],[Fecha]])</f>
        <v>2021</v>
      </c>
    </row>
    <row r="64" spans="4:10" ht="16.2" customHeight="1" x14ac:dyDescent="0.3">
      <c r="D64" s="36">
        <v>44318</v>
      </c>
      <c r="E64" t="s">
        <v>36</v>
      </c>
      <c r="F64" s="37" t="s">
        <v>1</v>
      </c>
      <c r="G64" s="38">
        <v>-400</v>
      </c>
      <c r="I64" s="39" t="str">
        <f>TEXT(tbl_diario[[#This Row],[Fecha]],"mmm")</f>
        <v>may</v>
      </c>
      <c r="J64" s="39">
        <f>YEAR(tbl_diario[[#This Row],[Fecha]])</f>
        <v>2021</v>
      </c>
    </row>
    <row r="65" spans="4:10" ht="16.2" customHeight="1" x14ac:dyDescent="0.3">
      <c r="D65" s="36">
        <v>44326</v>
      </c>
      <c r="E65" t="s">
        <v>37</v>
      </c>
      <c r="F65" s="37" t="s">
        <v>44</v>
      </c>
      <c r="G65" s="38">
        <v>-100</v>
      </c>
      <c r="I65" s="39" t="str">
        <f>TEXT(tbl_diario[[#This Row],[Fecha]],"mmm")</f>
        <v>may</v>
      </c>
      <c r="J65" s="39">
        <f>YEAR(tbl_diario[[#This Row],[Fecha]])</f>
        <v>2021</v>
      </c>
    </row>
    <row r="66" spans="4:10" ht="16.2" customHeight="1" x14ac:dyDescent="0.3">
      <c r="D66" s="36">
        <v>44348</v>
      </c>
      <c r="E66" t="s">
        <v>36</v>
      </c>
      <c r="F66" s="37" t="s">
        <v>3</v>
      </c>
      <c r="G66" s="38">
        <v>-59.69</v>
      </c>
      <c r="I66" s="39" t="str">
        <f>TEXT(tbl_diario[[#This Row],[Fecha]],"mmm")</f>
        <v>jun</v>
      </c>
      <c r="J66" s="39">
        <f>YEAR(tbl_diario[[#This Row],[Fecha]])</f>
        <v>2021</v>
      </c>
    </row>
    <row r="67" spans="4:10" ht="16.2" customHeight="1" x14ac:dyDescent="0.3">
      <c r="D67" s="36">
        <v>44349</v>
      </c>
      <c r="E67" t="s">
        <v>36</v>
      </c>
      <c r="F67" s="37" t="s">
        <v>58</v>
      </c>
      <c r="G67" s="38">
        <v>-200</v>
      </c>
      <c r="I67" s="39" t="str">
        <f>TEXT(tbl_diario[[#This Row],[Fecha]],"mmm")</f>
        <v>jun</v>
      </c>
      <c r="J67" s="39">
        <f>YEAR(tbl_diario[[#This Row],[Fecha]])</f>
        <v>2021</v>
      </c>
    </row>
    <row r="68" spans="4:10" ht="16.2" customHeight="1" x14ac:dyDescent="0.3">
      <c r="D68" s="36">
        <v>44349</v>
      </c>
      <c r="E68" t="s">
        <v>35</v>
      </c>
      <c r="F68" s="37" t="s">
        <v>16</v>
      </c>
      <c r="G68" s="38">
        <v>1400</v>
      </c>
      <c r="I68" s="39" t="str">
        <f>TEXT(tbl_diario[[#This Row],[Fecha]],"mmm")</f>
        <v>jun</v>
      </c>
      <c r="J68" s="39">
        <f>YEAR(tbl_diario[[#This Row],[Fecha]])</f>
        <v>2021</v>
      </c>
    </row>
    <row r="69" spans="4:10" ht="16.2" customHeight="1" x14ac:dyDescent="0.3">
      <c r="D69" s="36">
        <v>44349</v>
      </c>
      <c r="E69" t="s">
        <v>37</v>
      </c>
      <c r="F69" s="37" t="s">
        <v>6</v>
      </c>
      <c r="G69" s="38">
        <v>-3</v>
      </c>
      <c r="I69" s="39" t="str">
        <f>TEXT(tbl_diario[[#This Row],[Fecha]],"mmm")</f>
        <v>jun</v>
      </c>
      <c r="J69" s="39">
        <f>YEAR(tbl_diario[[#This Row],[Fecha]])</f>
        <v>2021</v>
      </c>
    </row>
    <row r="70" spans="4:10" ht="16.2" customHeight="1" x14ac:dyDescent="0.3">
      <c r="D70" s="36">
        <v>44349</v>
      </c>
      <c r="E70" t="s">
        <v>36</v>
      </c>
      <c r="F70" s="37" t="s">
        <v>4</v>
      </c>
      <c r="G70" s="38">
        <v>-39.97</v>
      </c>
      <c r="I70" s="39" t="str">
        <f>TEXT(tbl_diario[[#This Row],[Fecha]],"mmm")</f>
        <v>jun</v>
      </c>
      <c r="J70" s="39">
        <f>YEAR(tbl_diario[[#This Row],[Fecha]])</f>
        <v>2021</v>
      </c>
    </row>
    <row r="71" spans="4:10" ht="16.2" customHeight="1" x14ac:dyDescent="0.3">
      <c r="D71" s="36">
        <v>44349</v>
      </c>
      <c r="E71" t="s">
        <v>37</v>
      </c>
      <c r="F71" s="37" t="s">
        <v>43</v>
      </c>
      <c r="G71" s="38">
        <v>-40</v>
      </c>
      <c r="I71" s="39" t="str">
        <f>TEXT(tbl_diario[[#This Row],[Fecha]],"mmm")</f>
        <v>jun</v>
      </c>
      <c r="J71" s="39">
        <f>YEAR(tbl_diario[[#This Row],[Fecha]])</f>
        <v>2021</v>
      </c>
    </row>
    <row r="72" spans="4:10" ht="16.2" customHeight="1" x14ac:dyDescent="0.3">
      <c r="D72" s="36">
        <v>44349</v>
      </c>
      <c r="E72" t="s">
        <v>37</v>
      </c>
      <c r="F72" s="37" t="s">
        <v>10</v>
      </c>
      <c r="G72" s="38">
        <v>-120</v>
      </c>
      <c r="I72" s="39" t="str">
        <f>TEXT(tbl_diario[[#This Row],[Fecha]],"mmm")</f>
        <v>jun</v>
      </c>
      <c r="J72" s="39">
        <f>YEAR(tbl_diario[[#This Row],[Fecha]])</f>
        <v>2021</v>
      </c>
    </row>
    <row r="73" spans="4:10" ht="16.2" customHeight="1" x14ac:dyDescent="0.3">
      <c r="D73" s="36">
        <v>44349</v>
      </c>
      <c r="E73" t="s">
        <v>36</v>
      </c>
      <c r="F73" s="37" t="s">
        <v>5</v>
      </c>
      <c r="G73" s="38">
        <v>-125</v>
      </c>
      <c r="I73" s="39" t="str">
        <f>TEXT(tbl_diario[[#This Row],[Fecha]],"mmm")</f>
        <v>jun</v>
      </c>
      <c r="J73" s="39">
        <f>YEAR(tbl_diario[[#This Row],[Fecha]])</f>
        <v>2021</v>
      </c>
    </row>
    <row r="74" spans="4:10" ht="16.2" customHeight="1" x14ac:dyDescent="0.3">
      <c r="D74" s="36">
        <v>44349</v>
      </c>
      <c r="E74" t="s">
        <v>36</v>
      </c>
      <c r="F74" s="37" t="s">
        <v>1</v>
      </c>
      <c r="G74" s="38">
        <v>-400</v>
      </c>
      <c r="I74" s="39" t="str">
        <f>TEXT(tbl_diario[[#This Row],[Fecha]],"mmm")</f>
        <v>jun</v>
      </c>
      <c r="J74" s="39">
        <f>YEAR(tbl_diario[[#This Row],[Fecha]])</f>
        <v>2021</v>
      </c>
    </row>
    <row r="75" spans="4:10" ht="16.2" customHeight="1" x14ac:dyDescent="0.3">
      <c r="D75" s="36">
        <v>44376</v>
      </c>
      <c r="E75" t="s">
        <v>35</v>
      </c>
      <c r="F75" s="37" t="s">
        <v>48</v>
      </c>
      <c r="G75" s="38">
        <v>200</v>
      </c>
      <c r="I75" s="39" t="str">
        <f>TEXT(tbl_diario[[#This Row],[Fecha]],"mmm")</f>
        <v>jun</v>
      </c>
      <c r="J75" s="39">
        <f>YEAR(tbl_diario[[#This Row],[Fecha]])</f>
        <v>2021</v>
      </c>
    </row>
    <row r="76" spans="4:10" ht="16.2" customHeight="1" x14ac:dyDescent="0.3">
      <c r="D76" s="36">
        <v>44376</v>
      </c>
      <c r="E76" t="s">
        <v>37</v>
      </c>
      <c r="F76" s="37" t="s">
        <v>47</v>
      </c>
      <c r="G76" s="38">
        <v>-60</v>
      </c>
      <c r="I76" s="39" t="str">
        <f>TEXT(tbl_diario[[#This Row],[Fecha]],"mmm")</f>
        <v>jun</v>
      </c>
      <c r="J76" s="39">
        <f>YEAR(tbl_diario[[#This Row],[Fecha]])</f>
        <v>2021</v>
      </c>
    </row>
    <row r="77" spans="4:10" ht="16.2" customHeight="1" x14ac:dyDescent="0.3">
      <c r="D77" s="36">
        <v>44376</v>
      </c>
      <c r="E77" t="s">
        <v>37</v>
      </c>
      <c r="F77" s="37" t="s">
        <v>47</v>
      </c>
      <c r="G77" s="38">
        <v>-90</v>
      </c>
      <c r="I77" s="39" t="str">
        <f>TEXT(tbl_diario[[#This Row],[Fecha]],"mmm")</f>
        <v>jun</v>
      </c>
      <c r="J77" s="39">
        <f>YEAR(tbl_diario[[#This Row],[Fecha]])</f>
        <v>2021</v>
      </c>
    </row>
    <row r="78" spans="4:10" ht="16.2" customHeight="1" x14ac:dyDescent="0.3">
      <c r="D78" s="36">
        <v>44378</v>
      </c>
      <c r="E78" t="s">
        <v>36</v>
      </c>
      <c r="F78" s="37" t="s">
        <v>3</v>
      </c>
      <c r="G78" s="38">
        <v>-63.87</v>
      </c>
      <c r="I78" s="39" t="str">
        <f>TEXT(tbl_diario[[#This Row],[Fecha]],"mmm")</f>
        <v>jul</v>
      </c>
      <c r="J78" s="39">
        <f>YEAR(tbl_diario[[#This Row],[Fecha]])</f>
        <v>2021</v>
      </c>
    </row>
    <row r="79" spans="4:10" ht="16.2" customHeight="1" x14ac:dyDescent="0.3">
      <c r="D79" s="36">
        <v>44379</v>
      </c>
      <c r="E79" t="s">
        <v>36</v>
      </c>
      <c r="F79" s="37" t="s">
        <v>58</v>
      </c>
      <c r="G79" s="38">
        <v>-200</v>
      </c>
      <c r="I79" s="39" t="str">
        <f>TEXT(tbl_diario[[#This Row],[Fecha]],"mmm")</f>
        <v>jul</v>
      </c>
      <c r="J79" s="39">
        <f>YEAR(tbl_diario[[#This Row],[Fecha]])</f>
        <v>2021</v>
      </c>
    </row>
    <row r="80" spans="4:10" ht="16.2" customHeight="1" x14ac:dyDescent="0.3">
      <c r="D80" s="36">
        <v>44379</v>
      </c>
      <c r="E80" t="s">
        <v>36</v>
      </c>
      <c r="F80" s="37" t="s">
        <v>5</v>
      </c>
      <c r="G80" s="38">
        <v>-100</v>
      </c>
      <c r="I80" s="39" t="str">
        <f>TEXT(tbl_diario[[#This Row],[Fecha]],"mmm")</f>
        <v>jul</v>
      </c>
      <c r="J80" s="39">
        <f>YEAR(tbl_diario[[#This Row],[Fecha]])</f>
        <v>2021</v>
      </c>
    </row>
    <row r="81" spans="4:10" ht="16.2" customHeight="1" x14ac:dyDescent="0.3">
      <c r="D81" s="36">
        <v>44379</v>
      </c>
      <c r="E81" t="s">
        <v>37</v>
      </c>
      <c r="F81" s="37" t="s">
        <v>42</v>
      </c>
      <c r="G81" s="38">
        <v>-100</v>
      </c>
      <c r="I81" s="39" t="str">
        <f>TEXT(tbl_diario[[#This Row],[Fecha]],"mmm")</f>
        <v>jul</v>
      </c>
      <c r="J81" s="39">
        <f>YEAR(tbl_diario[[#This Row],[Fecha]])</f>
        <v>2021</v>
      </c>
    </row>
    <row r="82" spans="4:10" ht="16.2" customHeight="1" x14ac:dyDescent="0.3">
      <c r="D82" s="36">
        <v>44379</v>
      </c>
      <c r="E82" t="s">
        <v>35</v>
      </c>
      <c r="F82" s="37" t="s">
        <v>16</v>
      </c>
      <c r="G82" s="38">
        <v>1400</v>
      </c>
      <c r="I82" s="39" t="str">
        <f>TEXT(tbl_diario[[#This Row],[Fecha]],"mmm")</f>
        <v>jul</v>
      </c>
      <c r="J82" s="39">
        <f>YEAR(tbl_diario[[#This Row],[Fecha]])</f>
        <v>2021</v>
      </c>
    </row>
    <row r="83" spans="4:10" ht="16.2" customHeight="1" x14ac:dyDescent="0.3">
      <c r="D83" s="36">
        <v>44379</v>
      </c>
      <c r="E83" t="s">
        <v>36</v>
      </c>
      <c r="F83" s="37" t="s">
        <v>7</v>
      </c>
      <c r="G83" s="38">
        <v>-215</v>
      </c>
      <c r="I83" s="39" t="str">
        <f>TEXT(tbl_diario[[#This Row],[Fecha]],"mmm")</f>
        <v>jul</v>
      </c>
      <c r="J83" s="39">
        <f>YEAR(tbl_diario[[#This Row],[Fecha]])</f>
        <v>2021</v>
      </c>
    </row>
    <row r="84" spans="4:10" ht="16.2" customHeight="1" x14ac:dyDescent="0.3">
      <c r="D84" s="36">
        <v>44379</v>
      </c>
      <c r="E84" t="s">
        <v>37</v>
      </c>
      <c r="F84" s="37" t="s">
        <v>43</v>
      </c>
      <c r="G84" s="38">
        <v>-40</v>
      </c>
      <c r="I84" s="39" t="str">
        <f>TEXT(tbl_diario[[#This Row],[Fecha]],"mmm")</f>
        <v>jul</v>
      </c>
      <c r="J84" s="39">
        <f>YEAR(tbl_diario[[#This Row],[Fecha]])</f>
        <v>2021</v>
      </c>
    </row>
    <row r="85" spans="4:10" ht="16.2" customHeight="1" x14ac:dyDescent="0.3">
      <c r="D85" s="36">
        <v>44379</v>
      </c>
      <c r="E85" t="s">
        <v>37</v>
      </c>
      <c r="F85" s="37" t="s">
        <v>6</v>
      </c>
      <c r="G85" s="38">
        <v>-3</v>
      </c>
      <c r="I85" s="39" t="str">
        <f>TEXT(tbl_diario[[#This Row],[Fecha]],"mmm")</f>
        <v>jul</v>
      </c>
      <c r="J85" s="39">
        <f>YEAR(tbl_diario[[#This Row],[Fecha]])</f>
        <v>2021</v>
      </c>
    </row>
    <row r="86" spans="4:10" ht="16.2" customHeight="1" x14ac:dyDescent="0.3">
      <c r="D86" s="36">
        <v>44379</v>
      </c>
      <c r="E86" t="s">
        <v>36</v>
      </c>
      <c r="F86" s="37" t="s">
        <v>4</v>
      </c>
      <c r="G86" s="38">
        <v>-39.97</v>
      </c>
      <c r="I86" s="39" t="str">
        <f>TEXT(tbl_diario[[#This Row],[Fecha]],"mmm")</f>
        <v>jul</v>
      </c>
      <c r="J86" s="39">
        <f>YEAR(tbl_diario[[#This Row],[Fecha]])</f>
        <v>2021</v>
      </c>
    </row>
    <row r="87" spans="4:10" ht="16.2" customHeight="1" x14ac:dyDescent="0.3">
      <c r="D87" s="36">
        <v>44379</v>
      </c>
      <c r="E87" t="s">
        <v>36</v>
      </c>
      <c r="F87" s="37" t="s">
        <v>1</v>
      </c>
      <c r="G87" s="38">
        <v>-400</v>
      </c>
      <c r="I87" s="39" t="str">
        <f>TEXT(tbl_diario[[#This Row],[Fecha]],"mmm")</f>
        <v>jul</v>
      </c>
      <c r="J87" s="39">
        <f>YEAR(tbl_diario[[#This Row],[Fecha]])</f>
        <v>2021</v>
      </c>
    </row>
    <row r="88" spans="4:10" ht="16.2" customHeight="1" x14ac:dyDescent="0.3">
      <c r="D88" s="36">
        <v>44410</v>
      </c>
      <c r="E88" t="s">
        <v>36</v>
      </c>
      <c r="F88" s="37" t="s">
        <v>58</v>
      </c>
      <c r="G88" s="38">
        <v>-200</v>
      </c>
      <c r="I88" s="39" t="str">
        <f>TEXT(tbl_diario[[#This Row],[Fecha]],"mmm")</f>
        <v>ago</v>
      </c>
      <c r="J88" s="39">
        <f>YEAR(tbl_diario[[#This Row],[Fecha]])</f>
        <v>2021</v>
      </c>
    </row>
    <row r="89" spans="4:10" ht="16.2" customHeight="1" x14ac:dyDescent="0.3">
      <c r="D89" s="36">
        <v>44410</v>
      </c>
      <c r="E89" t="s">
        <v>37</v>
      </c>
      <c r="F89" s="37" t="s">
        <v>10</v>
      </c>
      <c r="G89" s="38">
        <v>-15</v>
      </c>
      <c r="I89" s="39" t="str">
        <f>TEXT(tbl_diario[[#This Row],[Fecha]],"mmm")</f>
        <v>ago</v>
      </c>
      <c r="J89" s="39">
        <f>YEAR(tbl_diario[[#This Row],[Fecha]])</f>
        <v>2021</v>
      </c>
    </row>
    <row r="90" spans="4:10" ht="16.2" customHeight="1" x14ac:dyDescent="0.3">
      <c r="D90" s="36">
        <v>44410</v>
      </c>
      <c r="E90" t="s">
        <v>36</v>
      </c>
      <c r="F90" s="37" t="s">
        <v>5</v>
      </c>
      <c r="G90" s="38">
        <v>-100</v>
      </c>
      <c r="I90" s="39" t="str">
        <f>TEXT(tbl_diario[[#This Row],[Fecha]],"mmm")</f>
        <v>ago</v>
      </c>
      <c r="J90" s="39">
        <f>YEAR(tbl_diario[[#This Row],[Fecha]])</f>
        <v>2021</v>
      </c>
    </row>
    <row r="91" spans="4:10" ht="16.2" customHeight="1" x14ac:dyDescent="0.3">
      <c r="D91" s="36">
        <v>44410</v>
      </c>
      <c r="E91" t="s">
        <v>35</v>
      </c>
      <c r="F91" s="37" t="s">
        <v>16</v>
      </c>
      <c r="G91" s="38">
        <v>1400</v>
      </c>
      <c r="I91" s="39" t="str">
        <f>TEXT(tbl_diario[[#This Row],[Fecha]],"mmm")</f>
        <v>ago</v>
      </c>
      <c r="J91" s="39">
        <f>YEAR(tbl_diario[[#This Row],[Fecha]])</f>
        <v>2021</v>
      </c>
    </row>
    <row r="92" spans="4:10" ht="16.2" customHeight="1" x14ac:dyDescent="0.3">
      <c r="D92" s="36">
        <v>44410</v>
      </c>
      <c r="E92" t="s">
        <v>36</v>
      </c>
      <c r="F92" s="37" t="s">
        <v>7</v>
      </c>
      <c r="G92" s="38">
        <v>-200</v>
      </c>
      <c r="I92" s="39" t="str">
        <f>TEXT(tbl_diario[[#This Row],[Fecha]],"mmm")</f>
        <v>ago</v>
      </c>
      <c r="J92" s="39">
        <f>YEAR(tbl_diario[[#This Row],[Fecha]])</f>
        <v>2021</v>
      </c>
    </row>
    <row r="93" spans="4:10" ht="16.2" customHeight="1" x14ac:dyDescent="0.3">
      <c r="D93" s="36">
        <v>44412</v>
      </c>
      <c r="E93" t="s">
        <v>36</v>
      </c>
      <c r="F93" s="37" t="s">
        <v>57</v>
      </c>
      <c r="G93" s="38">
        <v>-60</v>
      </c>
      <c r="I93" s="39" t="str">
        <f>TEXT(tbl_diario[[#This Row],[Fecha]],"mmm")</f>
        <v>ago</v>
      </c>
      <c r="J93" s="39">
        <f>YEAR(tbl_diario[[#This Row],[Fecha]])</f>
        <v>2021</v>
      </c>
    </row>
    <row r="94" spans="4:10" ht="16.2" customHeight="1" x14ac:dyDescent="0.3">
      <c r="D94" s="36">
        <v>44440</v>
      </c>
      <c r="E94" t="s">
        <v>36</v>
      </c>
      <c r="F94" s="37" t="s">
        <v>3</v>
      </c>
      <c r="G94" s="38">
        <v>-63.87</v>
      </c>
      <c r="I94" s="39" t="str">
        <f>TEXT(tbl_diario[[#This Row],[Fecha]],"mmm")</f>
        <v>sept</v>
      </c>
      <c r="J94" s="39">
        <f>YEAR(tbl_diario[[#This Row],[Fecha]])</f>
        <v>2021</v>
      </c>
    </row>
    <row r="95" spans="4:10" ht="16.2" customHeight="1" x14ac:dyDescent="0.3">
      <c r="D95" s="36">
        <v>44441</v>
      </c>
      <c r="E95" t="s">
        <v>36</v>
      </c>
      <c r="F95" s="37" t="s">
        <v>58</v>
      </c>
      <c r="G95" s="38">
        <v>-200</v>
      </c>
      <c r="I95" s="39" t="str">
        <f>TEXT(tbl_diario[[#This Row],[Fecha]],"mmm")</f>
        <v>sept</v>
      </c>
      <c r="J95" s="39">
        <f>YEAR(tbl_diario[[#This Row],[Fecha]])</f>
        <v>2021</v>
      </c>
    </row>
    <row r="96" spans="4:10" ht="16.2" customHeight="1" x14ac:dyDescent="0.3">
      <c r="D96" s="36">
        <v>44441</v>
      </c>
      <c r="E96" t="s">
        <v>36</v>
      </c>
      <c r="F96" s="37" t="s">
        <v>5</v>
      </c>
      <c r="G96" s="38">
        <v>-100</v>
      </c>
      <c r="I96" s="39" t="str">
        <f>TEXT(tbl_diario[[#This Row],[Fecha]],"mmm")</f>
        <v>sept</v>
      </c>
      <c r="J96" s="39">
        <f>YEAR(tbl_diario[[#This Row],[Fecha]])</f>
        <v>2021</v>
      </c>
    </row>
    <row r="97" spans="4:10" ht="16.2" customHeight="1" x14ac:dyDescent="0.3">
      <c r="D97" s="36">
        <v>44441</v>
      </c>
      <c r="E97" t="s">
        <v>35</v>
      </c>
      <c r="F97" s="37" t="s">
        <v>16</v>
      </c>
      <c r="G97" s="38">
        <v>1400</v>
      </c>
      <c r="I97" s="39" t="str">
        <f>TEXT(tbl_diario[[#This Row],[Fecha]],"mmm")</f>
        <v>sept</v>
      </c>
      <c r="J97" s="39">
        <f>YEAR(tbl_diario[[#This Row],[Fecha]])</f>
        <v>2021</v>
      </c>
    </row>
    <row r="98" spans="4:10" ht="16.2" customHeight="1" x14ac:dyDescent="0.3">
      <c r="D98" s="36">
        <v>44441</v>
      </c>
      <c r="E98" t="s">
        <v>36</v>
      </c>
      <c r="F98" s="37" t="s">
        <v>7</v>
      </c>
      <c r="G98" s="38">
        <v>-200</v>
      </c>
      <c r="I98" s="39" t="str">
        <f>TEXT(tbl_diario[[#This Row],[Fecha]],"mmm")</f>
        <v>sept</v>
      </c>
      <c r="J98" s="39">
        <f>YEAR(tbl_diario[[#This Row],[Fecha]])</f>
        <v>2021</v>
      </c>
    </row>
    <row r="99" spans="4:10" ht="16.2" customHeight="1" x14ac:dyDescent="0.3">
      <c r="D99" s="36">
        <v>44441</v>
      </c>
      <c r="E99" t="s">
        <v>37</v>
      </c>
      <c r="F99" s="37" t="s">
        <v>43</v>
      </c>
      <c r="G99" s="38">
        <v>-40</v>
      </c>
      <c r="I99" s="39" t="str">
        <f>TEXT(tbl_diario[[#This Row],[Fecha]],"mmm")</f>
        <v>sept</v>
      </c>
      <c r="J99" s="39">
        <f>YEAR(tbl_diario[[#This Row],[Fecha]])</f>
        <v>2021</v>
      </c>
    </row>
    <row r="100" spans="4:10" ht="16.2" customHeight="1" x14ac:dyDescent="0.3">
      <c r="D100" s="36">
        <v>44441</v>
      </c>
      <c r="E100" t="s">
        <v>37</v>
      </c>
      <c r="F100" s="37" t="s">
        <v>6</v>
      </c>
      <c r="G100" s="38">
        <v>-3</v>
      </c>
      <c r="I100" s="39" t="str">
        <f>TEXT(tbl_diario[[#This Row],[Fecha]],"mmm")</f>
        <v>sept</v>
      </c>
      <c r="J100" s="39">
        <f>YEAR(tbl_diario[[#This Row],[Fecha]])</f>
        <v>2021</v>
      </c>
    </row>
    <row r="101" spans="4:10" ht="16.2" customHeight="1" x14ac:dyDescent="0.3">
      <c r="D101" s="36">
        <v>44441</v>
      </c>
      <c r="E101" t="s">
        <v>36</v>
      </c>
      <c r="F101" s="37" t="s">
        <v>4</v>
      </c>
      <c r="G101" s="38">
        <v>-39.97</v>
      </c>
      <c r="I101" s="39" t="str">
        <f>TEXT(tbl_diario[[#This Row],[Fecha]],"mmm")</f>
        <v>sept</v>
      </c>
      <c r="J101" s="39">
        <f>YEAR(tbl_diario[[#This Row],[Fecha]])</f>
        <v>2021</v>
      </c>
    </row>
    <row r="102" spans="4:10" ht="16.2" customHeight="1" x14ac:dyDescent="0.3">
      <c r="D102" s="36">
        <v>44441</v>
      </c>
      <c r="E102" t="s">
        <v>36</v>
      </c>
      <c r="F102" s="37" t="s">
        <v>1</v>
      </c>
      <c r="G102" s="38">
        <v>-400</v>
      </c>
      <c r="I102" s="39" t="str">
        <f>TEXT(tbl_diario[[#This Row],[Fecha]],"mmm")</f>
        <v>sept</v>
      </c>
      <c r="J102" s="39">
        <f>YEAR(tbl_diario[[#This Row],[Fecha]])</f>
        <v>2021</v>
      </c>
    </row>
    <row r="103" spans="4:10" ht="16.2" customHeight="1" x14ac:dyDescent="0.3">
      <c r="D103" s="36">
        <v>44443</v>
      </c>
      <c r="E103" t="s">
        <v>36</v>
      </c>
      <c r="F103" s="37" t="s">
        <v>57</v>
      </c>
      <c r="G103" s="38">
        <v>-80</v>
      </c>
      <c r="I103" s="39" t="str">
        <f>TEXT(tbl_diario[[#This Row],[Fecha]],"mmm")</f>
        <v>sept</v>
      </c>
      <c r="J103" s="39">
        <f>YEAR(tbl_diario[[#This Row],[Fecha]])</f>
        <v>2021</v>
      </c>
    </row>
    <row r="104" spans="4:10" ht="16.2" customHeight="1" x14ac:dyDescent="0.3">
      <c r="D104" s="36">
        <v>44443</v>
      </c>
      <c r="E104" t="s">
        <v>36</v>
      </c>
      <c r="F104" s="37" t="s">
        <v>57</v>
      </c>
      <c r="G104" s="38">
        <v>-80</v>
      </c>
      <c r="I104" s="39" t="str">
        <f>TEXT(tbl_diario[[#This Row],[Fecha]],"mmm")</f>
        <v>sept</v>
      </c>
      <c r="J104" s="39">
        <f>YEAR(tbl_diario[[#This Row],[Fecha]])</f>
        <v>2021</v>
      </c>
    </row>
    <row r="105" spans="4:10" ht="16.2" customHeight="1" x14ac:dyDescent="0.3">
      <c r="D105" s="36">
        <v>44470</v>
      </c>
      <c r="E105" t="s">
        <v>36</v>
      </c>
      <c r="F105" s="37" t="s">
        <v>3</v>
      </c>
      <c r="G105" s="38">
        <v>-63</v>
      </c>
      <c r="I105" s="39" t="str">
        <f>TEXT(tbl_diario[[#This Row],[Fecha]],"mmm")</f>
        <v>oct</v>
      </c>
      <c r="J105" s="39">
        <f>YEAR(tbl_diario[[#This Row],[Fecha]])</f>
        <v>2021</v>
      </c>
    </row>
    <row r="106" spans="4:10" ht="16.2" customHeight="1" x14ac:dyDescent="0.3">
      <c r="D106" s="36">
        <v>44471</v>
      </c>
      <c r="E106" t="s">
        <v>36</v>
      </c>
      <c r="F106" s="37" t="s">
        <v>58</v>
      </c>
      <c r="G106" s="38">
        <v>-200</v>
      </c>
      <c r="I106" s="39" t="str">
        <f>TEXT(tbl_diario[[#This Row],[Fecha]],"mmm")</f>
        <v>oct</v>
      </c>
      <c r="J106" s="39">
        <f>YEAR(tbl_diario[[#This Row],[Fecha]])</f>
        <v>2021</v>
      </c>
    </row>
    <row r="107" spans="4:10" ht="16.2" customHeight="1" x14ac:dyDescent="0.3">
      <c r="D107" s="36">
        <v>44471</v>
      </c>
      <c r="E107" t="s">
        <v>36</v>
      </c>
      <c r="F107" s="37" t="s">
        <v>5</v>
      </c>
      <c r="G107" s="38">
        <v>-100</v>
      </c>
      <c r="I107" s="39" t="str">
        <f>TEXT(tbl_diario[[#This Row],[Fecha]],"mmm")</f>
        <v>oct</v>
      </c>
      <c r="J107" s="39">
        <f>YEAR(tbl_diario[[#This Row],[Fecha]])</f>
        <v>2021</v>
      </c>
    </row>
    <row r="108" spans="4:10" ht="16.2" customHeight="1" x14ac:dyDescent="0.3">
      <c r="D108" s="36">
        <v>44471</v>
      </c>
      <c r="E108" t="s">
        <v>35</v>
      </c>
      <c r="F108" s="37" t="s">
        <v>16</v>
      </c>
      <c r="G108" s="38">
        <v>1400</v>
      </c>
      <c r="I108" s="39" t="str">
        <f>TEXT(tbl_diario[[#This Row],[Fecha]],"mmm")</f>
        <v>oct</v>
      </c>
      <c r="J108" s="39">
        <f>YEAR(tbl_diario[[#This Row],[Fecha]])</f>
        <v>2021</v>
      </c>
    </row>
    <row r="109" spans="4:10" ht="16.2" customHeight="1" x14ac:dyDescent="0.3">
      <c r="D109" s="36">
        <v>44471</v>
      </c>
      <c r="E109" t="s">
        <v>36</v>
      </c>
      <c r="F109" s="37" t="s">
        <v>7</v>
      </c>
      <c r="G109" s="38">
        <v>-200</v>
      </c>
      <c r="I109" s="39" t="str">
        <f>TEXT(tbl_diario[[#This Row],[Fecha]],"mmm")</f>
        <v>oct</v>
      </c>
      <c r="J109" s="39">
        <f>YEAR(tbl_diario[[#This Row],[Fecha]])</f>
        <v>2021</v>
      </c>
    </row>
    <row r="110" spans="4:10" ht="16.2" customHeight="1" x14ac:dyDescent="0.3">
      <c r="D110" s="36">
        <v>44471</v>
      </c>
      <c r="E110" t="s">
        <v>37</v>
      </c>
      <c r="F110" s="37" t="s">
        <v>43</v>
      </c>
      <c r="G110" s="38">
        <v>-40</v>
      </c>
      <c r="I110" s="39" t="str">
        <f>TEXT(tbl_diario[[#This Row],[Fecha]],"mmm")</f>
        <v>oct</v>
      </c>
      <c r="J110" s="39">
        <f>YEAR(tbl_diario[[#This Row],[Fecha]])</f>
        <v>2021</v>
      </c>
    </row>
    <row r="111" spans="4:10" ht="16.2" customHeight="1" x14ac:dyDescent="0.3">
      <c r="D111" s="36">
        <v>44471</v>
      </c>
      <c r="E111" t="s">
        <v>37</v>
      </c>
      <c r="F111" s="37" t="s">
        <v>6</v>
      </c>
      <c r="G111" s="38">
        <v>-3</v>
      </c>
      <c r="I111" s="39" t="str">
        <f>TEXT(tbl_diario[[#This Row],[Fecha]],"mmm")</f>
        <v>oct</v>
      </c>
      <c r="J111" s="39">
        <f>YEAR(tbl_diario[[#This Row],[Fecha]])</f>
        <v>2021</v>
      </c>
    </row>
    <row r="112" spans="4:10" ht="16.2" customHeight="1" x14ac:dyDescent="0.3">
      <c r="D112" s="36">
        <v>44471</v>
      </c>
      <c r="E112" t="s">
        <v>36</v>
      </c>
      <c r="F112" s="37" t="s">
        <v>4</v>
      </c>
      <c r="G112" s="38">
        <v>-39.97</v>
      </c>
      <c r="I112" s="39" t="str">
        <f>TEXT(tbl_diario[[#This Row],[Fecha]],"mmm")</f>
        <v>oct</v>
      </c>
      <c r="J112" s="39">
        <f>YEAR(tbl_diario[[#This Row],[Fecha]])</f>
        <v>2021</v>
      </c>
    </row>
    <row r="113" spans="4:10" ht="16.2" customHeight="1" x14ac:dyDescent="0.3">
      <c r="D113" s="36">
        <v>44471</v>
      </c>
      <c r="E113" t="s">
        <v>36</v>
      </c>
      <c r="F113" s="37" t="s">
        <v>1</v>
      </c>
      <c r="G113" s="38">
        <v>-400</v>
      </c>
      <c r="I113" s="39" t="str">
        <f>TEXT(tbl_diario[[#This Row],[Fecha]],"mmm")</f>
        <v>oct</v>
      </c>
      <c r="J113" s="39">
        <f>YEAR(tbl_diario[[#This Row],[Fecha]])</f>
        <v>2021</v>
      </c>
    </row>
    <row r="114" spans="4:10" ht="16.2" customHeight="1" x14ac:dyDescent="0.3">
      <c r="D114" s="36">
        <v>44501</v>
      </c>
      <c r="E114" t="s">
        <v>36</v>
      </c>
      <c r="F114" s="37" t="s">
        <v>3</v>
      </c>
      <c r="G114" s="38">
        <v>-65</v>
      </c>
      <c r="I114" s="39" t="str">
        <f>TEXT(tbl_diario[[#This Row],[Fecha]],"mmm")</f>
        <v>nov</v>
      </c>
      <c r="J114" s="39">
        <f>YEAR(tbl_diario[[#This Row],[Fecha]])</f>
        <v>2021</v>
      </c>
    </row>
    <row r="115" spans="4:10" ht="16.2" customHeight="1" x14ac:dyDescent="0.3">
      <c r="D115" s="36">
        <v>44502</v>
      </c>
      <c r="E115" t="s">
        <v>36</v>
      </c>
      <c r="F115" s="37" t="s">
        <v>58</v>
      </c>
      <c r="G115" s="38">
        <v>-200</v>
      </c>
      <c r="I115" s="39" t="str">
        <f>TEXT(tbl_diario[[#This Row],[Fecha]],"mmm")</f>
        <v>nov</v>
      </c>
      <c r="J115" s="39">
        <f>YEAR(tbl_diario[[#This Row],[Fecha]])</f>
        <v>2021</v>
      </c>
    </row>
    <row r="116" spans="4:10" ht="16.2" customHeight="1" x14ac:dyDescent="0.3">
      <c r="D116" s="36">
        <v>44502</v>
      </c>
      <c r="E116" t="s">
        <v>36</v>
      </c>
      <c r="F116" s="37" t="s">
        <v>7</v>
      </c>
      <c r="G116" s="38">
        <v>-200</v>
      </c>
      <c r="I116" s="39" t="str">
        <f>TEXT(tbl_diario[[#This Row],[Fecha]],"mmm")</f>
        <v>nov</v>
      </c>
      <c r="J116" s="39">
        <f>YEAR(tbl_diario[[#This Row],[Fecha]])</f>
        <v>2021</v>
      </c>
    </row>
    <row r="117" spans="4:10" ht="16.2" customHeight="1" x14ac:dyDescent="0.3">
      <c r="D117" s="36">
        <v>44502</v>
      </c>
      <c r="E117" t="s">
        <v>37</v>
      </c>
      <c r="F117" s="37" t="s">
        <v>43</v>
      </c>
      <c r="G117" s="38">
        <v>-40</v>
      </c>
      <c r="I117" s="39" t="str">
        <f>TEXT(tbl_diario[[#This Row],[Fecha]],"mmm")</f>
        <v>nov</v>
      </c>
      <c r="J117" s="39">
        <f>YEAR(tbl_diario[[#This Row],[Fecha]])</f>
        <v>2021</v>
      </c>
    </row>
    <row r="118" spans="4:10" ht="16.2" customHeight="1" x14ac:dyDescent="0.3">
      <c r="D118" s="36">
        <v>44502</v>
      </c>
      <c r="E118" t="s">
        <v>37</v>
      </c>
      <c r="F118" s="37" t="s">
        <v>6</v>
      </c>
      <c r="G118" s="38">
        <v>-3</v>
      </c>
      <c r="I118" s="39" t="str">
        <f>TEXT(tbl_diario[[#This Row],[Fecha]],"mmm")</f>
        <v>nov</v>
      </c>
      <c r="J118" s="39">
        <f>YEAR(tbl_diario[[#This Row],[Fecha]])</f>
        <v>2021</v>
      </c>
    </row>
    <row r="119" spans="4:10" ht="16.2" customHeight="1" x14ac:dyDescent="0.3">
      <c r="D119" s="36">
        <v>44502</v>
      </c>
      <c r="E119" t="s">
        <v>36</v>
      </c>
      <c r="F119" s="37" t="s">
        <v>4</v>
      </c>
      <c r="G119" s="38">
        <v>-39.97</v>
      </c>
      <c r="I119" s="39" t="str">
        <f>TEXT(tbl_diario[[#This Row],[Fecha]],"mmm")</f>
        <v>nov</v>
      </c>
      <c r="J119" s="39">
        <f>YEAR(tbl_diario[[#This Row],[Fecha]])</f>
        <v>2021</v>
      </c>
    </row>
    <row r="120" spans="4:10" ht="16.2" customHeight="1" x14ac:dyDescent="0.3">
      <c r="D120" s="36">
        <v>44502</v>
      </c>
      <c r="E120" t="s">
        <v>36</v>
      </c>
      <c r="F120" s="37" t="s">
        <v>1</v>
      </c>
      <c r="G120" s="38">
        <v>-400</v>
      </c>
      <c r="I120" s="39" t="str">
        <f>TEXT(tbl_diario[[#This Row],[Fecha]],"mmm")</f>
        <v>nov</v>
      </c>
      <c r="J120" s="39">
        <f>YEAR(tbl_diario[[#This Row],[Fecha]])</f>
        <v>2021</v>
      </c>
    </row>
    <row r="121" spans="4:10" ht="16.2" customHeight="1" x14ac:dyDescent="0.3">
      <c r="D121" s="36">
        <v>44531</v>
      </c>
      <c r="E121" t="s">
        <v>36</v>
      </c>
      <c r="F121" s="37" t="s">
        <v>3</v>
      </c>
      <c r="G121" s="38">
        <v>-62</v>
      </c>
      <c r="I121" s="39" t="str">
        <f>TEXT(tbl_diario[[#This Row],[Fecha]],"mmm")</f>
        <v>dic</v>
      </c>
      <c r="J121" s="39">
        <f>YEAR(tbl_diario[[#This Row],[Fecha]])</f>
        <v>2021</v>
      </c>
    </row>
    <row r="122" spans="4:10" ht="16.2" customHeight="1" x14ac:dyDescent="0.3">
      <c r="D122" s="36">
        <v>44532</v>
      </c>
      <c r="E122" t="s">
        <v>36</v>
      </c>
      <c r="F122" s="37" t="s">
        <v>1</v>
      </c>
      <c r="G122" s="38">
        <v>-400</v>
      </c>
      <c r="I122" s="39" t="str">
        <f>TEXT(tbl_diario[[#This Row],[Fecha]],"mmm")</f>
        <v>dic</v>
      </c>
      <c r="J122" s="39">
        <f>YEAR(tbl_diario[[#This Row],[Fecha]])</f>
        <v>2021</v>
      </c>
    </row>
    <row r="123" spans="4:10" ht="16.2" customHeight="1" x14ac:dyDescent="0.3">
      <c r="D123" s="36">
        <v>44532</v>
      </c>
      <c r="E123" t="s">
        <v>36</v>
      </c>
      <c r="F123" s="37" t="s">
        <v>58</v>
      </c>
      <c r="G123" s="38">
        <v>-200</v>
      </c>
      <c r="I123" s="39" t="str">
        <f>TEXT(tbl_diario[[#This Row],[Fecha]],"mmm")</f>
        <v>dic</v>
      </c>
      <c r="J123" s="39">
        <f>YEAR(tbl_diario[[#This Row],[Fecha]])</f>
        <v>2021</v>
      </c>
    </row>
    <row r="124" spans="4:10" ht="16.2" customHeight="1" x14ac:dyDescent="0.3">
      <c r="D124" s="36">
        <v>44532</v>
      </c>
      <c r="E124" t="s">
        <v>37</v>
      </c>
      <c r="F124" s="37" t="s">
        <v>10</v>
      </c>
      <c r="G124" s="38">
        <v>-100</v>
      </c>
      <c r="I124" s="39" t="str">
        <f>TEXT(tbl_diario[[#This Row],[Fecha]],"mmm")</f>
        <v>dic</v>
      </c>
      <c r="J124" s="39">
        <f>YEAR(tbl_diario[[#This Row],[Fecha]])</f>
        <v>2021</v>
      </c>
    </row>
    <row r="125" spans="4:10" ht="16.2" customHeight="1" x14ac:dyDescent="0.3">
      <c r="D125" s="36">
        <v>44532</v>
      </c>
      <c r="E125" t="s">
        <v>36</v>
      </c>
      <c r="F125" s="37" t="s">
        <v>5</v>
      </c>
      <c r="G125" s="38">
        <v>-100</v>
      </c>
      <c r="I125" s="39" t="str">
        <f>TEXT(tbl_diario[[#This Row],[Fecha]],"mmm")</f>
        <v>dic</v>
      </c>
      <c r="J125" s="39">
        <f>YEAR(tbl_diario[[#This Row],[Fecha]])</f>
        <v>2021</v>
      </c>
    </row>
    <row r="126" spans="4:10" ht="16.2" customHeight="1" x14ac:dyDescent="0.3">
      <c r="D126" s="36">
        <v>44532</v>
      </c>
      <c r="E126" t="s">
        <v>35</v>
      </c>
      <c r="F126" s="37" t="s">
        <v>16</v>
      </c>
      <c r="G126" s="38">
        <v>1400</v>
      </c>
      <c r="I126" s="39" t="str">
        <f>TEXT(tbl_diario[[#This Row],[Fecha]],"mmm")</f>
        <v>dic</v>
      </c>
      <c r="J126" s="39">
        <f>YEAR(tbl_diario[[#This Row],[Fecha]])</f>
        <v>2021</v>
      </c>
    </row>
    <row r="127" spans="4:10" ht="16.2" customHeight="1" x14ac:dyDescent="0.3">
      <c r="D127" s="36">
        <v>44532</v>
      </c>
      <c r="E127" t="s">
        <v>36</v>
      </c>
      <c r="F127" s="37" t="s">
        <v>7</v>
      </c>
      <c r="G127" s="38">
        <v>-200</v>
      </c>
      <c r="I127" s="39" t="str">
        <f>TEXT(tbl_diario[[#This Row],[Fecha]],"mmm")</f>
        <v>dic</v>
      </c>
      <c r="J127" s="39">
        <f>YEAR(tbl_diario[[#This Row],[Fecha]])</f>
        <v>2021</v>
      </c>
    </row>
    <row r="128" spans="4:10" ht="16.2" customHeight="1" x14ac:dyDescent="0.3">
      <c r="D128" s="36">
        <v>44532</v>
      </c>
      <c r="E128" t="s">
        <v>36</v>
      </c>
      <c r="F128" s="37" t="s">
        <v>4</v>
      </c>
      <c r="G128" s="38">
        <v>-39.97</v>
      </c>
      <c r="I128" s="39" t="str">
        <f>TEXT(tbl_diario[[#This Row],[Fecha]],"mmm")</f>
        <v>dic</v>
      </c>
      <c r="J128" s="39">
        <f>YEAR(tbl_diario[[#This Row],[Fecha]])</f>
        <v>2021</v>
      </c>
    </row>
    <row r="129" spans="4:10" ht="16.2" customHeight="1" x14ac:dyDescent="0.3">
      <c r="D129" s="36">
        <v>44532</v>
      </c>
      <c r="E129" t="s">
        <v>36</v>
      </c>
      <c r="F129" s="37" t="s">
        <v>1</v>
      </c>
      <c r="G129" s="38">
        <v>-400</v>
      </c>
      <c r="I129" s="39" t="str">
        <f>TEXT(tbl_diario[[#This Row],[Fecha]],"mmm")</f>
        <v>dic</v>
      </c>
      <c r="J129" s="39">
        <f>YEAR(tbl_diario[[#This Row],[Fecha]])</f>
        <v>2021</v>
      </c>
    </row>
    <row r="130" spans="4:10" ht="16.2" customHeight="1" x14ac:dyDescent="0.3">
      <c r="D130" s="36">
        <v>44540</v>
      </c>
      <c r="E130" t="s">
        <v>37</v>
      </c>
      <c r="F130" s="37" t="s">
        <v>44</v>
      </c>
      <c r="G130" s="38">
        <v>-100</v>
      </c>
      <c r="I130" s="39" t="str">
        <f>TEXT(tbl_diario[[#This Row],[Fecha]],"mmm")</f>
        <v>dic</v>
      </c>
      <c r="J130" s="39">
        <f>YEAR(tbl_diario[[#This Row],[Fecha]])</f>
        <v>2021</v>
      </c>
    </row>
    <row r="131" spans="4:10" ht="16.2" customHeight="1" x14ac:dyDescent="0.3">
      <c r="D131" s="36">
        <v>44562</v>
      </c>
      <c r="E131" t="s">
        <v>35</v>
      </c>
      <c r="F131" s="37" t="s">
        <v>16</v>
      </c>
      <c r="G131" s="38">
        <v>1600</v>
      </c>
      <c r="I131" s="39" t="str">
        <f>TEXT(tbl_diario[[#This Row],[Fecha]],"mmm")</f>
        <v>ene</v>
      </c>
      <c r="J131" s="39">
        <f>YEAR(tbl_diario[[#This Row],[Fecha]])</f>
        <v>2022</v>
      </c>
    </row>
    <row r="132" spans="4:10" ht="16.2" customHeight="1" x14ac:dyDescent="0.3">
      <c r="D132" s="36">
        <v>44563</v>
      </c>
      <c r="E132" t="s">
        <v>36</v>
      </c>
      <c r="F132" s="37" t="s">
        <v>7</v>
      </c>
      <c r="G132" s="38">
        <v>-250</v>
      </c>
      <c r="I132" s="39" t="str">
        <f>TEXT(tbl_diario[[#This Row],[Fecha]],"mmm")</f>
        <v>ene</v>
      </c>
      <c r="J132" s="39">
        <f>YEAR(tbl_diario[[#This Row],[Fecha]])</f>
        <v>2022</v>
      </c>
    </row>
    <row r="133" spans="4:10" ht="16.2" customHeight="1" x14ac:dyDescent="0.3">
      <c r="D133" s="36">
        <v>44563</v>
      </c>
      <c r="E133" t="s">
        <v>36</v>
      </c>
      <c r="F133" s="37" t="s">
        <v>4</v>
      </c>
      <c r="G133" s="38">
        <v>-39.97</v>
      </c>
      <c r="I133" s="39" t="str">
        <f>TEXT(tbl_diario[[#This Row],[Fecha]],"mmm")</f>
        <v>ene</v>
      </c>
      <c r="J133" s="39">
        <f>YEAR(tbl_diario[[#This Row],[Fecha]])</f>
        <v>2022</v>
      </c>
    </row>
    <row r="134" spans="4:10" ht="16.2" customHeight="1" x14ac:dyDescent="0.3">
      <c r="D134" s="36">
        <v>44563</v>
      </c>
      <c r="E134" t="s">
        <v>36</v>
      </c>
      <c r="F134" s="37" t="s">
        <v>1</v>
      </c>
      <c r="G134" s="38">
        <v>-400</v>
      </c>
      <c r="I134" s="39" t="str">
        <f>TEXT(tbl_diario[[#This Row],[Fecha]],"mmm")</f>
        <v>ene</v>
      </c>
      <c r="J134" s="39">
        <f>YEAR(tbl_diario[[#This Row],[Fecha]])</f>
        <v>2022</v>
      </c>
    </row>
    <row r="135" spans="4:10" ht="16.2" customHeight="1" x14ac:dyDescent="0.3">
      <c r="D135" s="36">
        <v>44593</v>
      </c>
      <c r="E135" t="s">
        <v>35</v>
      </c>
      <c r="F135" s="37" t="s">
        <v>16</v>
      </c>
      <c r="G135" s="38">
        <v>1600</v>
      </c>
      <c r="I135" s="39" t="str">
        <f>TEXT(tbl_diario[[#This Row],[Fecha]],"mmm")</f>
        <v>feb</v>
      </c>
      <c r="J135" s="39">
        <f>YEAR(tbl_diario[[#This Row],[Fecha]])</f>
        <v>2022</v>
      </c>
    </row>
    <row r="136" spans="4:10" ht="16.2" customHeight="1" x14ac:dyDescent="0.3">
      <c r="D136" s="36">
        <v>44594</v>
      </c>
      <c r="E136" t="s">
        <v>36</v>
      </c>
      <c r="F136" s="37" t="s">
        <v>7</v>
      </c>
      <c r="G136" s="38">
        <v>-250</v>
      </c>
      <c r="I136" s="39" t="str">
        <f>TEXT(tbl_diario[[#This Row],[Fecha]],"mmm")</f>
        <v>feb</v>
      </c>
      <c r="J136" s="39">
        <f>YEAR(tbl_diario[[#This Row],[Fecha]])</f>
        <v>2022</v>
      </c>
    </row>
    <row r="137" spans="4:10" ht="16.2" customHeight="1" x14ac:dyDescent="0.3">
      <c r="D137" s="36">
        <v>44594</v>
      </c>
      <c r="E137" t="s">
        <v>36</v>
      </c>
      <c r="F137" s="37" t="s">
        <v>4</v>
      </c>
      <c r="G137" s="38">
        <v>-39.97</v>
      </c>
      <c r="I137" s="39" t="str">
        <f>TEXT(tbl_diario[[#This Row],[Fecha]],"mmm")</f>
        <v>feb</v>
      </c>
      <c r="J137" s="39">
        <f>YEAR(tbl_diario[[#This Row],[Fecha]])</f>
        <v>2022</v>
      </c>
    </row>
    <row r="138" spans="4:10" ht="16.2" customHeight="1" x14ac:dyDescent="0.3">
      <c r="D138" s="36">
        <v>44594</v>
      </c>
      <c r="E138" t="s">
        <v>36</v>
      </c>
      <c r="F138" s="37" t="s">
        <v>1</v>
      </c>
      <c r="G138" s="38">
        <v>-400</v>
      </c>
      <c r="I138" s="39" t="str">
        <f>TEXT(tbl_diario[[#This Row],[Fecha]],"mmm")</f>
        <v>feb</v>
      </c>
      <c r="J138" s="39">
        <f>YEAR(tbl_diario[[#This Row],[Fecha]])</f>
        <v>2022</v>
      </c>
    </row>
    <row r="139" spans="4:10" ht="16.2" customHeight="1" x14ac:dyDescent="0.3">
      <c r="D139" s="36">
        <v>44621</v>
      </c>
      <c r="E139" t="s">
        <v>35</v>
      </c>
      <c r="F139" s="37" t="s">
        <v>16</v>
      </c>
      <c r="G139" s="38">
        <v>1600</v>
      </c>
      <c r="I139" s="39" t="str">
        <f>TEXT(tbl_diario[[#This Row],[Fecha]],"mmm")</f>
        <v>mar</v>
      </c>
      <c r="J139" s="39">
        <f>YEAR(tbl_diario[[#This Row],[Fecha]])</f>
        <v>2022</v>
      </c>
    </row>
    <row r="140" spans="4:10" ht="16.2" customHeight="1" x14ac:dyDescent="0.3">
      <c r="D140" s="36">
        <v>44622</v>
      </c>
      <c r="E140" t="s">
        <v>36</v>
      </c>
      <c r="F140" s="37" t="s">
        <v>7</v>
      </c>
      <c r="G140" s="38">
        <v>-250</v>
      </c>
      <c r="I140" s="39" t="str">
        <f>TEXT(tbl_diario[[#This Row],[Fecha]],"mmm")</f>
        <v>mar</v>
      </c>
      <c r="J140" s="39">
        <f>YEAR(tbl_diario[[#This Row],[Fecha]])</f>
        <v>2022</v>
      </c>
    </row>
    <row r="141" spans="4:10" ht="16.2" customHeight="1" x14ac:dyDescent="0.3">
      <c r="D141" s="36">
        <v>44622</v>
      </c>
      <c r="E141" t="s">
        <v>36</v>
      </c>
      <c r="F141" s="37" t="s">
        <v>4</v>
      </c>
      <c r="G141" s="38">
        <v>-39.97</v>
      </c>
      <c r="I141" s="39" t="str">
        <f>TEXT(tbl_diario[[#This Row],[Fecha]],"mmm")</f>
        <v>mar</v>
      </c>
      <c r="J141" s="39">
        <f>YEAR(tbl_diario[[#This Row],[Fecha]])</f>
        <v>2022</v>
      </c>
    </row>
    <row r="142" spans="4:10" ht="16.2" customHeight="1" x14ac:dyDescent="0.3">
      <c r="D142" s="36">
        <v>44622</v>
      </c>
      <c r="E142" t="s">
        <v>36</v>
      </c>
      <c r="F142" s="37" t="s">
        <v>1</v>
      </c>
      <c r="G142" s="38">
        <v>-400</v>
      </c>
      <c r="I142" s="39" t="str">
        <f>TEXT(tbl_diario[[#This Row],[Fecha]],"mmm")</f>
        <v>mar</v>
      </c>
      <c r="J142" s="39">
        <f>YEAR(tbl_diario[[#This Row],[Fecha]])</f>
        <v>2022</v>
      </c>
    </row>
    <row r="143" spans="4:10" ht="16.2" customHeight="1" x14ac:dyDescent="0.3">
      <c r="D143" s="36">
        <v>44652</v>
      </c>
      <c r="E143" t="s">
        <v>35</v>
      </c>
      <c r="F143" s="37" t="s">
        <v>16</v>
      </c>
      <c r="G143" s="38">
        <v>1600</v>
      </c>
      <c r="I143" s="39" t="str">
        <f>TEXT(tbl_diario[[#This Row],[Fecha]],"mmm")</f>
        <v>abr</v>
      </c>
      <c r="J143" s="39">
        <f>YEAR(tbl_diario[[#This Row],[Fecha]])</f>
        <v>2022</v>
      </c>
    </row>
    <row r="144" spans="4:10" ht="16.2" customHeight="1" x14ac:dyDescent="0.3">
      <c r="D144" s="36">
        <v>44653</v>
      </c>
      <c r="E144" t="s">
        <v>36</v>
      </c>
      <c r="F144" s="37" t="s">
        <v>7</v>
      </c>
      <c r="G144" s="38">
        <v>-250</v>
      </c>
      <c r="I144" s="39" t="str">
        <f>TEXT(tbl_diario[[#This Row],[Fecha]],"mmm")</f>
        <v>abr</v>
      </c>
      <c r="J144" s="39">
        <f>YEAR(tbl_diario[[#This Row],[Fecha]])</f>
        <v>2022</v>
      </c>
    </row>
    <row r="145" spans="4:10" ht="16.2" customHeight="1" x14ac:dyDescent="0.3">
      <c r="D145" s="36">
        <v>44653</v>
      </c>
      <c r="E145" t="s">
        <v>36</v>
      </c>
      <c r="F145" s="37" t="s">
        <v>4</v>
      </c>
      <c r="G145" s="38">
        <v>-49.97</v>
      </c>
      <c r="I145" s="39" t="str">
        <f>TEXT(tbl_diario[[#This Row],[Fecha]],"mmm")</f>
        <v>abr</v>
      </c>
      <c r="J145" s="39">
        <f>YEAR(tbl_diario[[#This Row],[Fecha]])</f>
        <v>2022</v>
      </c>
    </row>
    <row r="146" spans="4:10" ht="16.2" customHeight="1" x14ac:dyDescent="0.3">
      <c r="D146" s="36">
        <v>44653</v>
      </c>
      <c r="E146" t="s">
        <v>36</v>
      </c>
      <c r="F146" s="37" t="s">
        <v>1</v>
      </c>
      <c r="G146" s="38">
        <v>-400</v>
      </c>
      <c r="I146" s="39" t="str">
        <f>TEXT(tbl_diario[[#This Row],[Fecha]],"mmm")</f>
        <v>abr</v>
      </c>
      <c r="J146" s="39">
        <f>YEAR(tbl_diario[[#This Row],[Fecha]])</f>
        <v>2022</v>
      </c>
    </row>
    <row r="147" spans="4:10" ht="16.2" customHeight="1" x14ac:dyDescent="0.3">
      <c r="D147" s="36">
        <v>44673</v>
      </c>
      <c r="E147" t="s">
        <v>35</v>
      </c>
      <c r="F147" s="37" t="s">
        <v>16</v>
      </c>
      <c r="G147" s="38">
        <v>1600</v>
      </c>
      <c r="I147" s="39" t="str">
        <f>TEXT(tbl_diario[[#This Row],[Fecha]],"mmm")</f>
        <v>abr</v>
      </c>
      <c r="J147" s="39">
        <f>YEAR(tbl_diario[[#This Row],[Fecha]])</f>
        <v>2022</v>
      </c>
    </row>
    <row r="148" spans="4:10" ht="16.2" customHeight="1" x14ac:dyDescent="0.3">
      <c r="D148" s="36">
        <v>44682</v>
      </c>
      <c r="E148" t="s">
        <v>35</v>
      </c>
      <c r="F148" s="37" t="s">
        <v>16</v>
      </c>
      <c r="G148" s="38">
        <v>1600</v>
      </c>
      <c r="I148" s="39" t="str">
        <f>TEXT(tbl_diario[[#This Row],[Fecha]],"mmm")</f>
        <v>may</v>
      </c>
      <c r="J148" s="39">
        <f>YEAR(tbl_diario[[#This Row],[Fecha]])</f>
        <v>2022</v>
      </c>
    </row>
    <row r="149" spans="4:10" ht="16.2" customHeight="1" x14ac:dyDescent="0.3">
      <c r="D149" s="36">
        <v>44683</v>
      </c>
      <c r="E149" t="s">
        <v>36</v>
      </c>
      <c r="F149" s="37" t="s">
        <v>7</v>
      </c>
      <c r="G149" s="38">
        <v>-250</v>
      </c>
      <c r="I149" s="39" t="str">
        <f>TEXT(tbl_diario[[#This Row],[Fecha]],"mmm")</f>
        <v>may</v>
      </c>
      <c r="J149" s="39">
        <f>YEAR(tbl_diario[[#This Row],[Fecha]])</f>
        <v>2022</v>
      </c>
    </row>
    <row r="150" spans="4:10" ht="16.2" customHeight="1" x14ac:dyDescent="0.3">
      <c r="D150" s="36">
        <v>44683</v>
      </c>
      <c r="E150" t="s">
        <v>36</v>
      </c>
      <c r="F150" s="37" t="s">
        <v>4</v>
      </c>
      <c r="G150" s="38">
        <v>-49.97</v>
      </c>
      <c r="I150" s="39" t="str">
        <f>TEXT(tbl_diario[[#This Row],[Fecha]],"mmm")</f>
        <v>may</v>
      </c>
      <c r="J150" s="39">
        <f>YEAR(tbl_diario[[#This Row],[Fecha]])</f>
        <v>2022</v>
      </c>
    </row>
    <row r="151" spans="4:10" ht="16.2" customHeight="1" x14ac:dyDescent="0.3">
      <c r="D151" s="36">
        <v>44683</v>
      </c>
      <c r="E151" t="s">
        <v>36</v>
      </c>
      <c r="F151" s="37" t="s">
        <v>1</v>
      </c>
      <c r="G151" s="38">
        <v>-400</v>
      </c>
      <c r="I151" s="39" t="str">
        <f>TEXT(tbl_diario[[#This Row],[Fecha]],"mmm")</f>
        <v>may</v>
      </c>
      <c r="J151" s="39">
        <f>YEAR(tbl_diario[[#This Row],[Fecha]])</f>
        <v>2022</v>
      </c>
    </row>
    <row r="152" spans="4:10" ht="16.2" customHeight="1" x14ac:dyDescent="0.3">
      <c r="D152" s="36">
        <v>44713</v>
      </c>
      <c r="E152" t="s">
        <v>35</v>
      </c>
      <c r="F152" s="37" t="s">
        <v>16</v>
      </c>
      <c r="G152" s="38">
        <v>1600</v>
      </c>
      <c r="I152" s="39" t="str">
        <f>TEXT(tbl_diario[[#This Row],[Fecha]],"mmm")</f>
        <v>jun</v>
      </c>
      <c r="J152" s="39">
        <f>YEAR(tbl_diario[[#This Row],[Fecha]])</f>
        <v>2022</v>
      </c>
    </row>
    <row r="153" spans="4:10" ht="16.2" customHeight="1" x14ac:dyDescent="0.3">
      <c r="D153" s="36">
        <v>44714</v>
      </c>
      <c r="E153" t="s">
        <v>36</v>
      </c>
      <c r="F153" s="37" t="s">
        <v>7</v>
      </c>
      <c r="G153" s="38">
        <v>-250</v>
      </c>
      <c r="I153" s="39" t="str">
        <f>TEXT(tbl_diario[[#This Row],[Fecha]],"mmm")</f>
        <v>jun</v>
      </c>
      <c r="J153" s="39">
        <f>YEAR(tbl_diario[[#This Row],[Fecha]])</f>
        <v>2022</v>
      </c>
    </row>
    <row r="154" spans="4:10" ht="16.2" customHeight="1" x14ac:dyDescent="0.3">
      <c r="D154" s="36">
        <v>44714</v>
      </c>
      <c r="E154" t="s">
        <v>36</v>
      </c>
      <c r="F154" s="37" t="s">
        <v>4</v>
      </c>
      <c r="G154" s="38">
        <v>-49.97</v>
      </c>
      <c r="I154" s="39" t="str">
        <f>TEXT(tbl_diario[[#This Row],[Fecha]],"mmm")</f>
        <v>jun</v>
      </c>
      <c r="J154" s="39">
        <f>YEAR(tbl_diario[[#This Row],[Fecha]])</f>
        <v>2022</v>
      </c>
    </row>
    <row r="155" spans="4:10" ht="16.2" customHeight="1" x14ac:dyDescent="0.3">
      <c r="D155" s="36">
        <v>44714</v>
      </c>
      <c r="E155" t="s">
        <v>36</v>
      </c>
      <c r="F155" s="37" t="s">
        <v>1</v>
      </c>
      <c r="G155" s="38">
        <v>-450</v>
      </c>
      <c r="I155" s="39" t="str">
        <f>TEXT(tbl_diario[[#This Row],[Fecha]],"mmm")</f>
        <v>jun</v>
      </c>
      <c r="J155" s="39">
        <f>YEAR(tbl_diario[[#This Row],[Fecha]])</f>
        <v>2022</v>
      </c>
    </row>
    <row r="156" spans="4:10" ht="16.2" customHeight="1" x14ac:dyDescent="0.3">
      <c r="D156" s="36">
        <v>44743</v>
      </c>
      <c r="E156" t="s">
        <v>35</v>
      </c>
      <c r="F156" s="37" t="s">
        <v>16</v>
      </c>
      <c r="G156" s="38">
        <v>1600</v>
      </c>
      <c r="I156" s="39" t="str">
        <f>TEXT(tbl_diario[[#This Row],[Fecha]],"mmm")</f>
        <v>jul</v>
      </c>
      <c r="J156" s="39">
        <f>YEAR(tbl_diario[[#This Row],[Fecha]])</f>
        <v>2022</v>
      </c>
    </row>
    <row r="157" spans="4:10" ht="16.2" customHeight="1" x14ac:dyDescent="0.3">
      <c r="D157" s="36">
        <v>44744</v>
      </c>
      <c r="E157" t="s">
        <v>36</v>
      </c>
      <c r="F157" s="37" t="s">
        <v>7</v>
      </c>
      <c r="G157" s="38">
        <v>-250</v>
      </c>
      <c r="I157" s="39" t="str">
        <f>TEXT(tbl_diario[[#This Row],[Fecha]],"mmm")</f>
        <v>jul</v>
      </c>
      <c r="J157" s="39">
        <f>YEAR(tbl_diario[[#This Row],[Fecha]])</f>
        <v>2022</v>
      </c>
    </row>
    <row r="158" spans="4:10" ht="16.2" customHeight="1" x14ac:dyDescent="0.3">
      <c r="D158" s="36">
        <v>44744</v>
      </c>
      <c r="E158" t="s">
        <v>36</v>
      </c>
      <c r="F158" s="37" t="s">
        <v>4</v>
      </c>
      <c r="G158" s="38">
        <v>-49.97</v>
      </c>
      <c r="I158" s="39" t="str">
        <f>TEXT(tbl_diario[[#This Row],[Fecha]],"mmm")</f>
        <v>jul</v>
      </c>
      <c r="J158" s="39">
        <f>YEAR(tbl_diario[[#This Row],[Fecha]])</f>
        <v>2022</v>
      </c>
    </row>
    <row r="159" spans="4:10" ht="16.2" customHeight="1" x14ac:dyDescent="0.3">
      <c r="D159" s="36">
        <v>44744</v>
      </c>
      <c r="E159" t="s">
        <v>36</v>
      </c>
      <c r="F159" s="37" t="s">
        <v>1</v>
      </c>
      <c r="G159" s="38">
        <v>-450</v>
      </c>
      <c r="I159" s="39" t="str">
        <f>TEXT(tbl_diario[[#This Row],[Fecha]],"mmm")</f>
        <v>jul</v>
      </c>
      <c r="J159" s="39">
        <f>YEAR(tbl_diario[[#This Row],[Fecha]])</f>
        <v>2022</v>
      </c>
    </row>
    <row r="160" spans="4:10" ht="16.2" customHeight="1" x14ac:dyDescent="0.3">
      <c r="D160" s="36">
        <v>44774</v>
      </c>
      <c r="E160" t="s">
        <v>35</v>
      </c>
      <c r="F160" s="37" t="s">
        <v>16</v>
      </c>
      <c r="G160" s="38">
        <v>1600</v>
      </c>
      <c r="I160" s="39" t="str">
        <f>TEXT(tbl_diario[[#This Row],[Fecha]],"mmm")</f>
        <v>ago</v>
      </c>
      <c r="J160" s="39">
        <f>YEAR(tbl_diario[[#This Row],[Fecha]])</f>
        <v>2022</v>
      </c>
    </row>
    <row r="161" spans="4:10" ht="16.2" customHeight="1" x14ac:dyDescent="0.3">
      <c r="D161" s="36">
        <v>44775</v>
      </c>
      <c r="E161" t="s">
        <v>36</v>
      </c>
      <c r="F161" s="37" t="s">
        <v>7</v>
      </c>
      <c r="G161" s="38">
        <v>-250</v>
      </c>
      <c r="I161" s="39" t="str">
        <f>TEXT(tbl_diario[[#This Row],[Fecha]],"mmm")</f>
        <v>ago</v>
      </c>
      <c r="J161" s="39">
        <f>YEAR(tbl_diario[[#This Row],[Fecha]])</f>
        <v>2022</v>
      </c>
    </row>
    <row r="162" spans="4:10" ht="16.2" customHeight="1" x14ac:dyDescent="0.3">
      <c r="D162" s="36">
        <v>44775</v>
      </c>
      <c r="E162" t="s">
        <v>36</v>
      </c>
      <c r="F162" s="37" t="s">
        <v>4</v>
      </c>
      <c r="G162" s="38">
        <v>-49.97</v>
      </c>
      <c r="I162" s="39" t="str">
        <f>TEXT(tbl_diario[[#This Row],[Fecha]],"mmm")</f>
        <v>ago</v>
      </c>
      <c r="J162" s="39">
        <f>YEAR(tbl_diario[[#This Row],[Fecha]])</f>
        <v>2022</v>
      </c>
    </row>
    <row r="163" spans="4:10" ht="16.2" customHeight="1" x14ac:dyDescent="0.3">
      <c r="D163" s="36">
        <v>44775</v>
      </c>
      <c r="E163" t="s">
        <v>36</v>
      </c>
      <c r="F163" s="37" t="s">
        <v>1</v>
      </c>
      <c r="G163" s="38">
        <v>-450</v>
      </c>
      <c r="I163" s="39" t="str">
        <f>TEXT(tbl_diario[[#This Row],[Fecha]],"mmm")</f>
        <v>ago</v>
      </c>
      <c r="J163" s="39">
        <f>YEAR(tbl_diario[[#This Row],[Fecha]])</f>
        <v>2022</v>
      </c>
    </row>
    <row r="164" spans="4:10" ht="16.2" customHeight="1" x14ac:dyDescent="0.3">
      <c r="D164" s="36">
        <v>44805</v>
      </c>
      <c r="E164" t="s">
        <v>35</v>
      </c>
      <c r="F164" s="37" t="s">
        <v>16</v>
      </c>
      <c r="G164" s="38">
        <v>1600</v>
      </c>
      <c r="I164" s="39" t="str">
        <f>TEXT(tbl_diario[[#This Row],[Fecha]],"mmm")</f>
        <v>sept</v>
      </c>
      <c r="J164" s="39">
        <f>YEAR(tbl_diario[[#This Row],[Fecha]])</f>
        <v>2022</v>
      </c>
    </row>
    <row r="165" spans="4:10" ht="16.2" customHeight="1" x14ac:dyDescent="0.3">
      <c r="D165" s="36">
        <v>44806</v>
      </c>
      <c r="E165" t="s">
        <v>36</v>
      </c>
      <c r="F165" s="37" t="s">
        <v>7</v>
      </c>
      <c r="G165" s="38">
        <v>-250</v>
      </c>
      <c r="I165" s="39" t="str">
        <f>TEXT(tbl_diario[[#This Row],[Fecha]],"mmm")</f>
        <v>sept</v>
      </c>
      <c r="J165" s="39">
        <f>YEAR(tbl_diario[[#This Row],[Fecha]])</f>
        <v>2022</v>
      </c>
    </row>
    <row r="166" spans="4:10" ht="16.2" customHeight="1" x14ac:dyDescent="0.3">
      <c r="D166" s="36">
        <v>44806</v>
      </c>
      <c r="E166" t="s">
        <v>36</v>
      </c>
      <c r="F166" s="37" t="s">
        <v>4</v>
      </c>
      <c r="G166" s="38">
        <v>-49.97</v>
      </c>
      <c r="I166" s="39" t="str">
        <f>TEXT(tbl_diario[[#This Row],[Fecha]],"mmm")</f>
        <v>sept</v>
      </c>
      <c r="J166" s="39">
        <f>YEAR(tbl_diario[[#This Row],[Fecha]])</f>
        <v>2022</v>
      </c>
    </row>
    <row r="167" spans="4:10" ht="16.2" customHeight="1" x14ac:dyDescent="0.3">
      <c r="D167" s="36">
        <v>44806</v>
      </c>
      <c r="E167" t="s">
        <v>36</v>
      </c>
      <c r="F167" s="37" t="s">
        <v>1</v>
      </c>
      <c r="G167" s="38">
        <v>-450</v>
      </c>
      <c r="I167" s="39" t="str">
        <f>TEXT(tbl_diario[[#This Row],[Fecha]],"mmm")</f>
        <v>sept</v>
      </c>
      <c r="J167" s="39">
        <f>YEAR(tbl_diario[[#This Row],[Fecha]])</f>
        <v>2022</v>
      </c>
    </row>
    <row r="168" spans="4:10" ht="16.2" customHeight="1" x14ac:dyDescent="0.3">
      <c r="D168" s="36">
        <v>44835</v>
      </c>
      <c r="E168" t="s">
        <v>35</v>
      </c>
      <c r="F168" s="37" t="s">
        <v>16</v>
      </c>
      <c r="G168" s="38">
        <v>1600</v>
      </c>
      <c r="I168" s="39" t="str">
        <f>TEXT(tbl_diario[[#This Row],[Fecha]],"mmm")</f>
        <v>oct</v>
      </c>
      <c r="J168" s="39">
        <f>YEAR(tbl_diario[[#This Row],[Fecha]])</f>
        <v>2022</v>
      </c>
    </row>
    <row r="169" spans="4:10" ht="16.2" customHeight="1" x14ac:dyDescent="0.3">
      <c r="D169" s="36">
        <v>44836</v>
      </c>
      <c r="E169" t="s">
        <v>36</v>
      </c>
      <c r="F169" s="37" t="s">
        <v>7</v>
      </c>
      <c r="G169" s="38">
        <v>-250</v>
      </c>
      <c r="I169" s="39" t="str">
        <f>TEXT(tbl_diario[[#This Row],[Fecha]],"mmm")</f>
        <v>oct</v>
      </c>
      <c r="J169" s="39">
        <f>YEAR(tbl_diario[[#This Row],[Fecha]])</f>
        <v>2022</v>
      </c>
    </row>
    <row r="170" spans="4:10" ht="16.2" customHeight="1" x14ac:dyDescent="0.3">
      <c r="D170" s="36">
        <v>44836</v>
      </c>
      <c r="E170" t="s">
        <v>36</v>
      </c>
      <c r="F170" s="37" t="s">
        <v>4</v>
      </c>
      <c r="G170" s="38">
        <v>-49.97</v>
      </c>
      <c r="I170" s="39" t="str">
        <f>TEXT(tbl_diario[[#This Row],[Fecha]],"mmm")</f>
        <v>oct</v>
      </c>
      <c r="J170" s="39">
        <f>YEAR(tbl_diario[[#This Row],[Fecha]])</f>
        <v>2022</v>
      </c>
    </row>
    <row r="171" spans="4:10" ht="16.2" customHeight="1" x14ac:dyDescent="0.3">
      <c r="D171" s="36">
        <v>44836</v>
      </c>
      <c r="E171" t="s">
        <v>36</v>
      </c>
      <c r="F171" s="37" t="s">
        <v>1</v>
      </c>
      <c r="G171" s="38">
        <v>-450</v>
      </c>
      <c r="I171" s="39" t="str">
        <f>TEXT(tbl_diario[[#This Row],[Fecha]],"mmm")</f>
        <v>oct</v>
      </c>
      <c r="J171" s="39">
        <f>YEAR(tbl_diario[[#This Row],[Fecha]])</f>
        <v>2022</v>
      </c>
    </row>
    <row r="172" spans="4:10" ht="16.2" customHeight="1" x14ac:dyDescent="0.3">
      <c r="D172" s="36">
        <v>44866</v>
      </c>
      <c r="E172" t="s">
        <v>35</v>
      </c>
      <c r="F172" s="37" t="s">
        <v>16</v>
      </c>
      <c r="G172" s="38">
        <v>1600</v>
      </c>
      <c r="I172" s="39" t="str">
        <f>TEXT(tbl_diario[[#This Row],[Fecha]],"mmm")</f>
        <v>nov</v>
      </c>
      <c r="J172" s="39">
        <f>YEAR(tbl_diario[[#This Row],[Fecha]])</f>
        <v>2022</v>
      </c>
    </row>
    <row r="173" spans="4:10" ht="16.2" customHeight="1" x14ac:dyDescent="0.3">
      <c r="D173" s="36">
        <v>44867</v>
      </c>
      <c r="E173" t="s">
        <v>36</v>
      </c>
      <c r="F173" s="37" t="s">
        <v>7</v>
      </c>
      <c r="G173" s="38">
        <v>-250</v>
      </c>
      <c r="I173" s="39" t="str">
        <f>TEXT(tbl_diario[[#This Row],[Fecha]],"mmm")</f>
        <v>nov</v>
      </c>
      <c r="J173" s="39">
        <f>YEAR(tbl_diario[[#This Row],[Fecha]])</f>
        <v>2022</v>
      </c>
    </row>
    <row r="174" spans="4:10" ht="16.2" customHeight="1" x14ac:dyDescent="0.3">
      <c r="D174" s="36">
        <v>44867</v>
      </c>
      <c r="E174" t="s">
        <v>36</v>
      </c>
      <c r="F174" s="37" t="s">
        <v>4</v>
      </c>
      <c r="G174" s="38">
        <v>-49.97</v>
      </c>
      <c r="I174" s="39" t="str">
        <f>TEXT(tbl_diario[[#This Row],[Fecha]],"mmm")</f>
        <v>nov</v>
      </c>
      <c r="J174" s="39">
        <f>YEAR(tbl_diario[[#This Row],[Fecha]])</f>
        <v>2022</v>
      </c>
    </row>
    <row r="175" spans="4:10" ht="16.2" customHeight="1" x14ac:dyDescent="0.3">
      <c r="D175" s="36">
        <v>44867</v>
      </c>
      <c r="E175" t="s">
        <v>36</v>
      </c>
      <c r="F175" s="37" t="s">
        <v>1</v>
      </c>
      <c r="G175" s="38">
        <v>-450</v>
      </c>
      <c r="I175" s="39" t="str">
        <f>TEXT(tbl_diario[[#This Row],[Fecha]],"mmm")</f>
        <v>nov</v>
      </c>
      <c r="J175" s="39">
        <f>YEAR(tbl_diario[[#This Row],[Fecha]])</f>
        <v>2022</v>
      </c>
    </row>
    <row r="176" spans="4:10" ht="16.2" customHeight="1" x14ac:dyDescent="0.3">
      <c r="D176" s="36">
        <v>44897</v>
      </c>
      <c r="E176" t="s">
        <v>36</v>
      </c>
      <c r="F176" s="37" t="s">
        <v>7</v>
      </c>
      <c r="G176" s="38">
        <v>-250</v>
      </c>
      <c r="I176" s="39" t="str">
        <f>TEXT(tbl_diario[[#This Row],[Fecha]],"mmm")</f>
        <v>dic</v>
      </c>
      <c r="J176" s="39">
        <f>YEAR(tbl_diario[[#This Row],[Fecha]])</f>
        <v>2022</v>
      </c>
    </row>
    <row r="177" spans="4:10" ht="16.2" customHeight="1" x14ac:dyDescent="0.3">
      <c r="D177" s="36">
        <v>44897</v>
      </c>
      <c r="E177" t="s">
        <v>36</v>
      </c>
      <c r="F177" s="37" t="s">
        <v>4</v>
      </c>
      <c r="G177" s="38">
        <v>-49.97</v>
      </c>
      <c r="I177" s="39" t="str">
        <f>TEXT(tbl_diario[[#This Row],[Fecha]],"mmm")</f>
        <v>dic</v>
      </c>
      <c r="J177" s="39">
        <f>YEAR(tbl_diario[[#This Row],[Fecha]])</f>
        <v>2022</v>
      </c>
    </row>
    <row r="178" spans="4:10" ht="16.2" customHeight="1" x14ac:dyDescent="0.3">
      <c r="D178" s="36">
        <v>44897</v>
      </c>
      <c r="E178" t="s">
        <v>36</v>
      </c>
      <c r="F178" s="37" t="s">
        <v>1</v>
      </c>
      <c r="G178" s="38">
        <v>-450</v>
      </c>
      <c r="I178" s="39" t="str">
        <f>TEXT(tbl_diario[[#This Row],[Fecha]],"mmm")</f>
        <v>dic</v>
      </c>
      <c r="J178" s="39">
        <f>YEAR(tbl_diario[[#This Row],[Fecha]])</f>
        <v>2022</v>
      </c>
    </row>
  </sheetData>
  <phoneticPr fontId="1" type="noConversion"/>
  <dataValidations count="2">
    <dataValidation type="list" allowBlank="1" showInputMessage="1" showErrorMessage="1" sqref="E6:E178">
      <formula1>INDIRECT("tbl_tipoMovimiento[Categ. de ingresos o gastos]")</formula1>
    </dataValidation>
    <dataValidation type="list" allowBlank="1" showInputMessage="1" showErrorMessage="1" sqref="F6:F178">
      <formula1>INDIRECT("tbl_ingresosGastos[Ingresos y gastos]")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-0.249977111117893"/>
  </sheetPr>
  <dimension ref="A1:DE40"/>
  <sheetViews>
    <sheetView showGridLines="0" zoomScaleNormal="100" workbookViewId="0">
      <selection activeCell="B17" sqref="B17"/>
    </sheetView>
  </sheetViews>
  <sheetFormatPr baseColWidth="10" defaultColWidth="11.44140625" defaultRowHeight="15" customHeight="1" x14ac:dyDescent="0.3"/>
  <cols>
    <col min="1" max="1" width="0.6640625" style="61" customWidth="1"/>
    <col min="2" max="2" width="27.77734375" style="61" customWidth="1"/>
    <col min="3" max="3" width="1.33203125" style="5" customWidth="1"/>
    <col min="4" max="4" width="25.6640625" style="8" customWidth="1"/>
    <col min="5" max="16" width="10.33203125" style="6" customWidth="1"/>
    <col min="17" max="17" width="13.5546875" style="6" bestFit="1" customWidth="1"/>
    <col min="18" max="42" width="10.33203125" style="6" customWidth="1"/>
    <col min="43" max="46" width="11.109375" style="6" customWidth="1"/>
    <col min="47" max="109" width="11.6640625" style="6" customWidth="1"/>
    <col min="110" max="148" width="11.6640625" style="5" customWidth="1"/>
    <col min="149" max="16384" width="11.44140625" style="5"/>
  </cols>
  <sheetData>
    <row r="1" spans="1:109" s="4" customFormat="1" ht="24.45" customHeight="1" x14ac:dyDescent="0.45">
      <c r="A1" s="57"/>
      <c r="B1" s="56" t="s">
        <v>52</v>
      </c>
      <c r="C1" s="57"/>
      <c r="D1" s="58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</row>
    <row r="2" spans="1:109" ht="63" customHeight="1" x14ac:dyDescent="0.3">
      <c r="C2" s="61"/>
      <c r="D2" s="63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</row>
    <row r="3" spans="1:109" ht="18" customHeight="1" x14ac:dyDescent="0.3">
      <c r="C3" s="61"/>
      <c r="D3" s="63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</row>
    <row r="4" spans="1:109" s="6" customFormat="1" ht="15" customHeight="1" x14ac:dyDescent="0.3">
      <c r="A4" s="61"/>
      <c r="B4" s="61"/>
      <c r="D4" s="8"/>
    </row>
    <row r="5" spans="1:109" s="6" customFormat="1" ht="15" customHeight="1" x14ac:dyDescent="0.3">
      <c r="A5" s="61"/>
      <c r="B5" s="61"/>
      <c r="D5" s="8"/>
    </row>
    <row r="6" spans="1:109" s="6" customFormat="1" ht="15" customHeight="1" x14ac:dyDescent="0.3">
      <c r="A6" s="61"/>
      <c r="B6" s="61"/>
      <c r="D6" s="8"/>
    </row>
    <row r="7" spans="1:109" s="6" customFormat="1" ht="15" hidden="1" customHeight="1" x14ac:dyDescent="0.3">
      <c r="A7" s="61"/>
      <c r="B7" s="61"/>
      <c r="D7" s="8"/>
    </row>
    <row r="8" spans="1:109" s="6" customFormat="1" ht="13.8" x14ac:dyDescent="0.3">
      <c r="A8" s="62"/>
      <c r="B8" s="62"/>
      <c r="D8" s="11"/>
      <c r="E8" s="8" t="s">
        <v>20</v>
      </c>
      <c r="F8" s="8" t="s">
        <v>23</v>
      </c>
      <c r="G8" s="8" t="s">
        <v>24</v>
      </c>
      <c r="H8" s="8" t="s">
        <v>25</v>
      </c>
      <c r="I8" s="8" t="s">
        <v>26</v>
      </c>
      <c r="J8" s="8" t="s">
        <v>27</v>
      </c>
      <c r="K8" s="8" t="s">
        <v>28</v>
      </c>
      <c r="L8" s="8" t="s">
        <v>29</v>
      </c>
      <c r="M8" s="8" t="s">
        <v>63</v>
      </c>
      <c r="N8" s="8" t="s">
        <v>31</v>
      </c>
      <c r="O8" s="8" t="s">
        <v>32</v>
      </c>
      <c r="P8" s="8" t="s">
        <v>33</v>
      </c>
      <c r="Q8" s="79" t="s">
        <v>0</v>
      </c>
    </row>
    <row r="9" spans="1:109" s="6" customFormat="1" ht="13.8" x14ac:dyDescent="0.3">
      <c r="A9" s="62"/>
      <c r="B9" s="62"/>
      <c r="D9" s="10" t="s">
        <v>39</v>
      </c>
      <c r="E9" s="17">
        <v>1167.06</v>
      </c>
      <c r="F9" s="17">
        <v>1032.06</v>
      </c>
      <c r="G9" s="17">
        <v>1327.06</v>
      </c>
      <c r="H9" s="17">
        <v>2837.06</v>
      </c>
      <c r="I9" s="17">
        <v>893.1099999999999</v>
      </c>
      <c r="J9" s="17">
        <v>1312.3700000000001</v>
      </c>
      <c r="K9" s="17">
        <v>1088.1899999999998</v>
      </c>
      <c r="L9" s="17">
        <v>1675.0300000000002</v>
      </c>
      <c r="M9" s="17">
        <v>1043.19</v>
      </c>
      <c r="N9" s="17">
        <v>1204.06</v>
      </c>
      <c r="O9" s="17">
        <v>1902.06</v>
      </c>
      <c r="P9" s="17">
        <v>-1344.91</v>
      </c>
      <c r="Q9" s="18">
        <v>14136.34</v>
      </c>
    </row>
    <row r="10" spans="1:109" s="6" customFormat="1" ht="15" hidden="1" customHeight="1" x14ac:dyDescent="0.3">
      <c r="A10" s="61"/>
      <c r="B10" s="61"/>
      <c r="D10" s="8"/>
    </row>
    <row r="11" spans="1:109" s="6" customFormat="1" ht="13.8" hidden="1" x14ac:dyDescent="0.3">
      <c r="A11" s="61"/>
      <c r="B11" s="61"/>
      <c r="D11" s="11"/>
      <c r="E11" s="8" t="s">
        <v>20</v>
      </c>
      <c r="F11" s="8" t="s">
        <v>23</v>
      </c>
      <c r="G11" s="8" t="s">
        <v>24</v>
      </c>
      <c r="H11" s="8" t="s">
        <v>25</v>
      </c>
      <c r="I11" s="8" t="s">
        <v>26</v>
      </c>
      <c r="J11" s="8" t="s">
        <v>27</v>
      </c>
      <c r="K11" s="8" t="s">
        <v>28</v>
      </c>
      <c r="L11" s="8" t="s">
        <v>29</v>
      </c>
      <c r="M11" s="8" t="s">
        <v>63</v>
      </c>
      <c r="N11" s="8" t="s">
        <v>31</v>
      </c>
      <c r="O11" s="8" t="s">
        <v>32</v>
      </c>
      <c r="P11" s="8" t="s">
        <v>33</v>
      </c>
      <c r="Q11" s="79" t="s">
        <v>0</v>
      </c>
    </row>
    <row r="12" spans="1:109" s="7" customFormat="1" ht="13.8" x14ac:dyDescent="0.3">
      <c r="A12" s="61"/>
      <c r="B12" s="61"/>
      <c r="D12" s="12" t="s">
        <v>39</v>
      </c>
      <c r="E12" s="15">
        <v>1167.06</v>
      </c>
      <c r="F12" s="15">
        <v>1032.06</v>
      </c>
      <c r="G12" s="15">
        <v>1327.06</v>
      </c>
      <c r="H12" s="15">
        <v>2837.06</v>
      </c>
      <c r="I12" s="15">
        <v>893.1099999999999</v>
      </c>
      <c r="J12" s="15">
        <v>1312.3700000000001</v>
      </c>
      <c r="K12" s="15">
        <v>1088.1899999999998</v>
      </c>
      <c r="L12" s="15">
        <v>1675.0300000000002</v>
      </c>
      <c r="M12" s="15">
        <v>1043.19</v>
      </c>
      <c r="N12" s="15">
        <v>1204.06</v>
      </c>
      <c r="O12" s="15">
        <v>1902.06</v>
      </c>
      <c r="P12" s="15">
        <v>-1344.91</v>
      </c>
      <c r="Q12" s="16">
        <v>14136.34</v>
      </c>
      <c r="R12" s="6"/>
      <c r="S12" s="6"/>
    </row>
    <row r="13" spans="1:109" s="6" customFormat="1" ht="10.199999999999999" hidden="1" customHeight="1" x14ac:dyDescent="0.3">
      <c r="A13" s="61"/>
      <c r="B13" s="61"/>
      <c r="D13" s="8"/>
    </row>
    <row r="14" spans="1:109" s="6" customFormat="1" ht="13.8" hidden="1" x14ac:dyDescent="0.3">
      <c r="A14" s="61"/>
      <c r="B14" s="61"/>
      <c r="D14" s="13" t="s">
        <v>39</v>
      </c>
      <c r="E14" s="5"/>
    </row>
    <row r="15" spans="1:109" s="6" customFormat="1" ht="13.8" x14ac:dyDescent="0.3">
      <c r="A15" s="62"/>
      <c r="B15" s="62"/>
      <c r="D15" s="5"/>
      <c r="E15" s="6" t="s">
        <v>20</v>
      </c>
      <c r="F15" s="6" t="s">
        <v>23</v>
      </c>
      <c r="G15" s="6" t="s">
        <v>24</v>
      </c>
      <c r="H15" s="6" t="s">
        <v>25</v>
      </c>
      <c r="I15" s="6" t="s">
        <v>26</v>
      </c>
      <c r="J15" s="6" t="s">
        <v>27</v>
      </c>
      <c r="K15" s="6" t="s">
        <v>28</v>
      </c>
      <c r="L15" s="6" t="s">
        <v>29</v>
      </c>
      <c r="M15" s="6" t="s">
        <v>63</v>
      </c>
      <c r="N15" s="6" t="s">
        <v>31</v>
      </c>
      <c r="O15" s="6" t="s">
        <v>32</v>
      </c>
      <c r="P15" s="6" t="s">
        <v>33</v>
      </c>
      <c r="Q15" s="64" t="s">
        <v>65</v>
      </c>
    </row>
    <row r="16" spans="1:109" s="6" customFormat="1" ht="13.8" x14ac:dyDescent="0.3">
      <c r="A16" s="62"/>
      <c r="B16" s="62"/>
      <c r="D16" s="8" t="s">
        <v>40</v>
      </c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>
        <v>2000</v>
      </c>
      <c r="P16" s="17"/>
      <c r="Q16" s="18">
        <v>2000</v>
      </c>
    </row>
    <row r="17" spans="1:109" ht="13.8" x14ac:dyDescent="0.3">
      <c r="D17" s="30" t="s">
        <v>10</v>
      </c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>
        <v>2000</v>
      </c>
      <c r="P17" s="17"/>
      <c r="Q17" s="18">
        <v>2000</v>
      </c>
    </row>
    <row r="18" spans="1:109" ht="13.8" x14ac:dyDescent="0.3">
      <c r="D18" s="8" t="s">
        <v>35</v>
      </c>
      <c r="E18" s="17">
        <v>3000</v>
      </c>
      <c r="F18" s="17">
        <v>3000</v>
      </c>
      <c r="G18" s="17">
        <v>3000</v>
      </c>
      <c r="H18" s="17">
        <v>4600</v>
      </c>
      <c r="I18" s="17">
        <v>3000</v>
      </c>
      <c r="J18" s="17">
        <v>3200</v>
      </c>
      <c r="K18" s="17">
        <v>3000</v>
      </c>
      <c r="L18" s="17">
        <v>3000</v>
      </c>
      <c r="M18" s="17">
        <v>3000</v>
      </c>
      <c r="N18" s="17">
        <v>3000</v>
      </c>
      <c r="O18" s="17">
        <v>1600</v>
      </c>
      <c r="P18" s="17">
        <v>2800</v>
      </c>
      <c r="Q18" s="18">
        <v>36200</v>
      </c>
    </row>
    <row r="19" spans="1:109" ht="13.8" x14ac:dyDescent="0.3">
      <c r="D19" s="30" t="s">
        <v>16</v>
      </c>
      <c r="E19" s="17">
        <v>3000</v>
      </c>
      <c r="F19" s="17">
        <v>3000</v>
      </c>
      <c r="G19" s="17">
        <v>3000</v>
      </c>
      <c r="H19" s="17">
        <v>4600</v>
      </c>
      <c r="I19" s="17">
        <v>3000</v>
      </c>
      <c r="J19" s="17">
        <v>3000</v>
      </c>
      <c r="K19" s="17">
        <v>3000</v>
      </c>
      <c r="L19" s="17">
        <v>3000</v>
      </c>
      <c r="M19" s="17">
        <v>3000</v>
      </c>
      <c r="N19" s="17">
        <v>3000</v>
      </c>
      <c r="O19" s="17">
        <v>1600</v>
      </c>
      <c r="P19" s="17">
        <v>2800</v>
      </c>
      <c r="Q19" s="18">
        <v>36000</v>
      </c>
    </row>
    <row r="20" spans="1:109" ht="13.8" x14ac:dyDescent="0.3">
      <c r="D20" s="30" t="s">
        <v>48</v>
      </c>
      <c r="E20" s="17"/>
      <c r="F20" s="17"/>
      <c r="G20" s="17"/>
      <c r="H20" s="17"/>
      <c r="I20" s="17"/>
      <c r="J20" s="17">
        <v>200</v>
      </c>
      <c r="K20" s="17"/>
      <c r="L20" s="17"/>
      <c r="M20" s="17"/>
      <c r="N20" s="17"/>
      <c r="O20" s="17"/>
      <c r="P20" s="17"/>
      <c r="Q20" s="18">
        <v>200</v>
      </c>
    </row>
    <row r="21" spans="1:109" ht="13.8" x14ac:dyDescent="0.3">
      <c r="D21" s="8" t="s">
        <v>36</v>
      </c>
      <c r="E21" s="17">
        <v>-1804.94</v>
      </c>
      <c r="F21" s="17">
        <v>-1924.94</v>
      </c>
      <c r="G21" s="17">
        <v>-1629.94</v>
      </c>
      <c r="H21" s="17">
        <v>-1719.94</v>
      </c>
      <c r="I21" s="17">
        <v>-2006.89</v>
      </c>
      <c r="J21" s="17">
        <v>-1574.63</v>
      </c>
      <c r="K21" s="17">
        <v>-1768.81</v>
      </c>
      <c r="L21" s="17">
        <v>-1309.97</v>
      </c>
      <c r="M21" s="17">
        <v>-1913.81</v>
      </c>
      <c r="N21" s="17">
        <v>-1752.94</v>
      </c>
      <c r="O21" s="17">
        <v>-1654.94</v>
      </c>
      <c r="P21" s="17">
        <v>-3386.91</v>
      </c>
      <c r="Q21" s="18">
        <v>-22448.66</v>
      </c>
    </row>
    <row r="22" spans="1:109" ht="13.8" x14ac:dyDescent="0.3">
      <c r="D22" s="30" t="s">
        <v>1</v>
      </c>
      <c r="E22" s="17">
        <v>-800</v>
      </c>
      <c r="F22" s="17">
        <v>-800</v>
      </c>
      <c r="G22" s="17">
        <v>-800</v>
      </c>
      <c r="H22" s="17">
        <v>-800</v>
      </c>
      <c r="I22" s="17">
        <v>-800</v>
      </c>
      <c r="J22" s="17">
        <v>-850</v>
      </c>
      <c r="K22" s="17">
        <v>-850</v>
      </c>
      <c r="L22" s="17">
        <v>-450</v>
      </c>
      <c r="M22" s="17">
        <v>-850</v>
      </c>
      <c r="N22" s="17">
        <v>-850</v>
      </c>
      <c r="O22" s="17">
        <v>-850</v>
      </c>
      <c r="P22" s="17">
        <v>-2050</v>
      </c>
      <c r="Q22" s="18">
        <v>-10750</v>
      </c>
    </row>
    <row r="23" spans="1:109" ht="13.8" x14ac:dyDescent="0.3">
      <c r="D23" s="30" t="s">
        <v>7</v>
      </c>
      <c r="E23" s="17">
        <v>-450</v>
      </c>
      <c r="F23" s="17">
        <v>-440</v>
      </c>
      <c r="G23" s="17">
        <v>-450</v>
      </c>
      <c r="H23" s="17">
        <v>-455</v>
      </c>
      <c r="I23" s="17">
        <v>-700</v>
      </c>
      <c r="J23" s="17">
        <v>-250</v>
      </c>
      <c r="K23" s="17">
        <v>-465</v>
      </c>
      <c r="L23" s="17">
        <v>-450</v>
      </c>
      <c r="M23" s="17">
        <v>-450</v>
      </c>
      <c r="N23" s="17">
        <v>-450</v>
      </c>
      <c r="O23" s="17">
        <v>-450</v>
      </c>
      <c r="P23" s="17">
        <v>-670</v>
      </c>
      <c r="Q23" s="18">
        <v>-5680</v>
      </c>
    </row>
    <row r="24" spans="1:109" ht="13.8" x14ac:dyDescent="0.3">
      <c r="D24" s="30" t="s">
        <v>5</v>
      </c>
      <c r="E24" s="17">
        <v>-160</v>
      </c>
      <c r="F24" s="17">
        <v>-90</v>
      </c>
      <c r="G24" s="17">
        <v>-40</v>
      </c>
      <c r="H24" s="17">
        <v>-115</v>
      </c>
      <c r="I24" s="17">
        <v>-95</v>
      </c>
      <c r="J24" s="17">
        <v>-125</v>
      </c>
      <c r="K24" s="17">
        <v>-100</v>
      </c>
      <c r="L24" s="17">
        <v>-100</v>
      </c>
      <c r="M24" s="17">
        <v>-100</v>
      </c>
      <c r="N24" s="17">
        <v>-100</v>
      </c>
      <c r="O24" s="17"/>
      <c r="P24" s="17">
        <v>-205</v>
      </c>
      <c r="Q24" s="18">
        <v>-1230</v>
      </c>
    </row>
    <row r="25" spans="1:109" ht="13.8" x14ac:dyDescent="0.3">
      <c r="D25" s="30" t="s">
        <v>4</v>
      </c>
      <c r="E25" s="17">
        <v>-79.94</v>
      </c>
      <c r="F25" s="17">
        <v>-79.94</v>
      </c>
      <c r="G25" s="17">
        <v>-79.94</v>
      </c>
      <c r="H25" s="17">
        <v>-89.94</v>
      </c>
      <c r="I25" s="17">
        <v>-89.94</v>
      </c>
      <c r="J25" s="17">
        <v>-89.94</v>
      </c>
      <c r="K25" s="17">
        <v>-89.94</v>
      </c>
      <c r="L25" s="17">
        <v>-49.97</v>
      </c>
      <c r="M25" s="17">
        <v>-89.94</v>
      </c>
      <c r="N25" s="17">
        <v>-89.94</v>
      </c>
      <c r="O25" s="17">
        <v>-89.94</v>
      </c>
      <c r="P25" s="17">
        <v>-129.91</v>
      </c>
      <c r="Q25" s="18">
        <v>-1049.2800000000002</v>
      </c>
    </row>
    <row r="26" spans="1:109" s="9" customFormat="1" ht="13.8" x14ac:dyDescent="0.3">
      <c r="A26" s="61"/>
      <c r="B26" s="61"/>
      <c r="D26" s="30" t="s">
        <v>3</v>
      </c>
      <c r="E26" s="17">
        <v>-65</v>
      </c>
      <c r="F26" s="17">
        <v>-65</v>
      </c>
      <c r="G26" s="17">
        <v>-60</v>
      </c>
      <c r="H26" s="17">
        <v>-60</v>
      </c>
      <c r="I26" s="17">
        <v>-121.95</v>
      </c>
      <c r="J26" s="17">
        <v>-59.69</v>
      </c>
      <c r="K26" s="17">
        <v>-63.87</v>
      </c>
      <c r="L26" s="17"/>
      <c r="M26" s="17">
        <v>-63.87</v>
      </c>
      <c r="N26" s="17">
        <v>-63</v>
      </c>
      <c r="O26" s="17">
        <v>-65</v>
      </c>
      <c r="P26" s="17">
        <v>-132</v>
      </c>
      <c r="Q26" s="18">
        <v>-819.38</v>
      </c>
      <c r="R26" s="6"/>
      <c r="S26" s="6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</row>
    <row r="27" spans="1:109" ht="13.8" x14ac:dyDescent="0.3">
      <c r="D27" s="30" t="s">
        <v>11</v>
      </c>
      <c r="E27" s="17">
        <v>-250</v>
      </c>
      <c r="F27" s="17">
        <v>-250</v>
      </c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8">
        <v>-500</v>
      </c>
    </row>
    <row r="28" spans="1:109" ht="13.8" x14ac:dyDescent="0.3">
      <c r="D28" s="30" t="s">
        <v>58</v>
      </c>
      <c r="E28" s="17"/>
      <c r="F28" s="17">
        <v>-200</v>
      </c>
      <c r="G28" s="17">
        <v>-200</v>
      </c>
      <c r="H28" s="17">
        <v>-200</v>
      </c>
      <c r="I28" s="17">
        <v>-200</v>
      </c>
      <c r="J28" s="17">
        <v>-200</v>
      </c>
      <c r="K28" s="17">
        <v>-200</v>
      </c>
      <c r="L28" s="17">
        <v>-200</v>
      </c>
      <c r="M28" s="17">
        <v>-200</v>
      </c>
      <c r="N28" s="17">
        <v>-200</v>
      </c>
      <c r="O28" s="17">
        <v>-200</v>
      </c>
      <c r="P28" s="17">
        <v>-200</v>
      </c>
      <c r="Q28" s="18">
        <v>-2200</v>
      </c>
    </row>
    <row r="29" spans="1:109" ht="13.8" x14ac:dyDescent="0.3">
      <c r="D29" s="30" t="s">
        <v>57</v>
      </c>
      <c r="E29" s="17"/>
      <c r="F29" s="17"/>
      <c r="G29" s="17"/>
      <c r="H29" s="17"/>
      <c r="I29" s="17"/>
      <c r="J29" s="17"/>
      <c r="K29" s="17"/>
      <c r="L29" s="17">
        <v>-60</v>
      </c>
      <c r="M29" s="17">
        <v>-160</v>
      </c>
      <c r="N29" s="17"/>
      <c r="O29" s="17"/>
      <c r="P29" s="17"/>
      <c r="Q29" s="18">
        <v>-220</v>
      </c>
    </row>
    <row r="30" spans="1:109" ht="13.8" x14ac:dyDescent="0.3">
      <c r="D30" s="8" t="s">
        <v>37</v>
      </c>
      <c r="E30" s="17">
        <v>-28</v>
      </c>
      <c r="F30" s="17">
        <v>-43</v>
      </c>
      <c r="G30" s="17">
        <v>-43</v>
      </c>
      <c r="H30" s="17">
        <v>-43</v>
      </c>
      <c r="I30" s="17">
        <v>-100</v>
      </c>
      <c r="J30" s="17">
        <v>-313</v>
      </c>
      <c r="K30" s="17">
        <v>-143</v>
      </c>
      <c r="L30" s="17">
        <v>-15</v>
      </c>
      <c r="M30" s="17">
        <v>-43</v>
      </c>
      <c r="N30" s="17">
        <v>-43</v>
      </c>
      <c r="O30" s="17">
        <v>-43</v>
      </c>
      <c r="P30" s="17">
        <v>-758</v>
      </c>
      <c r="Q30" s="18">
        <v>-1615</v>
      </c>
    </row>
    <row r="31" spans="1:109" ht="13.8" x14ac:dyDescent="0.3">
      <c r="D31" s="30" t="s">
        <v>10</v>
      </c>
      <c r="E31" s="17">
        <v>-25</v>
      </c>
      <c r="F31" s="17"/>
      <c r="G31" s="17"/>
      <c r="H31" s="17"/>
      <c r="I31" s="17"/>
      <c r="J31" s="17">
        <v>-120</v>
      </c>
      <c r="K31" s="17"/>
      <c r="L31" s="17">
        <v>-15</v>
      </c>
      <c r="M31" s="17"/>
      <c r="N31" s="17"/>
      <c r="O31" s="17"/>
      <c r="P31" s="17">
        <v>-210</v>
      </c>
      <c r="Q31" s="18">
        <v>-370</v>
      </c>
    </row>
    <row r="32" spans="1:109" ht="13.8" x14ac:dyDescent="0.3">
      <c r="D32" s="30" t="s">
        <v>8</v>
      </c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>
        <v>-155</v>
      </c>
      <c r="Q32" s="18">
        <v>-155</v>
      </c>
    </row>
    <row r="33" spans="4:17" ht="13.8" x14ac:dyDescent="0.3">
      <c r="D33" s="30" t="s">
        <v>6</v>
      </c>
      <c r="E33" s="17">
        <v>-3</v>
      </c>
      <c r="F33" s="17">
        <v>-3</v>
      </c>
      <c r="G33" s="17">
        <v>-3</v>
      </c>
      <c r="H33" s="17">
        <v>-3</v>
      </c>
      <c r="I33" s="17"/>
      <c r="J33" s="17">
        <v>-3</v>
      </c>
      <c r="K33" s="17">
        <v>-3</v>
      </c>
      <c r="L33" s="17"/>
      <c r="M33" s="17">
        <v>-3</v>
      </c>
      <c r="N33" s="17">
        <v>-3</v>
      </c>
      <c r="O33" s="17">
        <v>-3</v>
      </c>
      <c r="P33" s="17">
        <v>-3</v>
      </c>
      <c r="Q33" s="18">
        <v>-30</v>
      </c>
    </row>
    <row r="34" spans="4:17" ht="13.8" x14ac:dyDescent="0.3">
      <c r="D34" s="30" t="s">
        <v>9</v>
      </c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>
        <v>-150</v>
      </c>
      <c r="Q34" s="18">
        <v>-150</v>
      </c>
    </row>
    <row r="35" spans="4:17" ht="13.8" x14ac:dyDescent="0.3">
      <c r="D35" s="30" t="s">
        <v>43</v>
      </c>
      <c r="E35" s="17"/>
      <c r="F35" s="17">
        <v>-40</v>
      </c>
      <c r="G35" s="17">
        <v>-40</v>
      </c>
      <c r="H35" s="17">
        <v>-40</v>
      </c>
      <c r="I35" s="17"/>
      <c r="J35" s="17">
        <v>-40</v>
      </c>
      <c r="K35" s="17">
        <v>-40</v>
      </c>
      <c r="L35" s="17"/>
      <c r="M35" s="17">
        <v>-40</v>
      </c>
      <c r="N35" s="17">
        <v>-40</v>
      </c>
      <c r="O35" s="17">
        <v>-40</v>
      </c>
      <c r="P35" s="17">
        <v>-40</v>
      </c>
      <c r="Q35" s="18">
        <v>-360</v>
      </c>
    </row>
    <row r="36" spans="4:17" ht="13.8" x14ac:dyDescent="0.3">
      <c r="D36" s="30" t="s">
        <v>42</v>
      </c>
      <c r="E36" s="17"/>
      <c r="F36" s="17"/>
      <c r="G36" s="17"/>
      <c r="H36" s="17"/>
      <c r="I36" s="17"/>
      <c r="J36" s="17"/>
      <c r="K36" s="17">
        <v>-100</v>
      </c>
      <c r="L36" s="17"/>
      <c r="M36" s="17"/>
      <c r="N36" s="17"/>
      <c r="O36" s="17"/>
      <c r="P36" s="17"/>
      <c r="Q36" s="18">
        <v>-100</v>
      </c>
    </row>
    <row r="37" spans="4:17" ht="13.8" x14ac:dyDescent="0.3">
      <c r="D37" s="30" t="s">
        <v>44</v>
      </c>
      <c r="E37" s="17"/>
      <c r="F37" s="17"/>
      <c r="G37" s="17"/>
      <c r="H37" s="17"/>
      <c r="I37" s="17">
        <v>-100</v>
      </c>
      <c r="J37" s="17"/>
      <c r="K37" s="17"/>
      <c r="L37" s="17"/>
      <c r="M37" s="17"/>
      <c r="N37" s="17"/>
      <c r="O37" s="17"/>
      <c r="P37" s="17">
        <v>-200</v>
      </c>
      <c r="Q37" s="18">
        <v>-300</v>
      </c>
    </row>
    <row r="38" spans="4:17" ht="13.8" x14ac:dyDescent="0.3">
      <c r="D38" s="30" t="s">
        <v>47</v>
      </c>
      <c r="E38" s="17"/>
      <c r="F38" s="17"/>
      <c r="G38" s="17"/>
      <c r="H38" s="17"/>
      <c r="I38" s="17"/>
      <c r="J38" s="17">
        <v>-150</v>
      </c>
      <c r="K38" s="17"/>
      <c r="L38" s="17"/>
      <c r="M38" s="17"/>
      <c r="N38" s="17"/>
      <c r="O38" s="17"/>
      <c r="P38" s="17"/>
      <c r="Q38" s="18">
        <v>-150</v>
      </c>
    </row>
    <row r="39" spans="4:17" ht="14.4" x14ac:dyDescent="0.3"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4:17" ht="14.4" x14ac:dyDescent="0.3"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E6:V19"/>
  <sheetViews>
    <sheetView showGridLines="0" zoomScale="110" zoomScaleNormal="110" workbookViewId="0">
      <selection activeCell="F11" sqref="F11"/>
    </sheetView>
  </sheetViews>
  <sheetFormatPr baseColWidth="10" defaultRowHeight="14.4" x14ac:dyDescent="0.3"/>
  <cols>
    <col min="1" max="4" width="3.33203125" customWidth="1"/>
    <col min="6" max="6" width="19.44140625" bestFit="1" customWidth="1"/>
    <col min="7" max="11" width="3.44140625" customWidth="1"/>
    <col min="12" max="12" width="3.33203125" customWidth="1"/>
    <col min="13" max="13" width="16.109375" customWidth="1"/>
    <col min="15" max="20" width="3.109375" customWidth="1"/>
    <col min="22" max="22" width="22.77734375" customWidth="1"/>
  </cols>
  <sheetData>
    <row r="6" spans="5:22" x14ac:dyDescent="0.3">
      <c r="E6" s="24" t="s">
        <v>49</v>
      </c>
      <c r="F6" s="25" t="s">
        <v>39</v>
      </c>
      <c r="M6" s="24" t="s">
        <v>49</v>
      </c>
      <c r="N6" s="25" t="s">
        <v>39</v>
      </c>
      <c r="U6" s="24" t="s">
        <v>49</v>
      </c>
      <c r="V6" s="25" t="s">
        <v>51</v>
      </c>
    </row>
    <row r="7" spans="5:22" x14ac:dyDescent="0.3">
      <c r="E7" s="26" t="s">
        <v>66</v>
      </c>
      <c r="F7" s="33">
        <v>1607.03</v>
      </c>
      <c r="M7" s="26" t="s">
        <v>66</v>
      </c>
      <c r="N7" s="33">
        <v>1607.03</v>
      </c>
      <c r="U7" s="26" t="s">
        <v>1</v>
      </c>
      <c r="V7" s="33">
        <v>-800</v>
      </c>
    </row>
    <row r="8" spans="5:22" x14ac:dyDescent="0.3">
      <c r="E8" s="29" t="s">
        <v>32</v>
      </c>
      <c r="F8" s="34">
        <v>2000</v>
      </c>
      <c r="M8" s="29" t="s">
        <v>32</v>
      </c>
      <c r="N8" s="34">
        <v>2000</v>
      </c>
      <c r="U8" s="27" t="s">
        <v>7</v>
      </c>
      <c r="V8" s="34">
        <v>-220</v>
      </c>
    </row>
    <row r="9" spans="5:22" x14ac:dyDescent="0.3">
      <c r="E9" s="29" t="s">
        <v>33</v>
      </c>
      <c r="F9" s="34">
        <v>-392.97</v>
      </c>
      <c r="M9" s="29" t="s">
        <v>33</v>
      </c>
      <c r="N9" s="34">
        <v>-392.97</v>
      </c>
      <c r="U9" s="27" t="s">
        <v>44</v>
      </c>
      <c r="V9" s="34">
        <v>-100</v>
      </c>
    </row>
    <row r="10" spans="5:22" x14ac:dyDescent="0.3">
      <c r="E10" s="28" t="s">
        <v>50</v>
      </c>
      <c r="F10" s="35">
        <v>1607.03</v>
      </c>
      <c r="M10" s="28" t="s">
        <v>50</v>
      </c>
      <c r="N10" s="35">
        <v>1607.03</v>
      </c>
      <c r="U10" s="27" t="s">
        <v>5</v>
      </c>
      <c r="V10" s="34">
        <v>-105</v>
      </c>
    </row>
    <row r="11" spans="5:22" x14ac:dyDescent="0.3">
      <c r="U11" s="27" t="s">
        <v>43</v>
      </c>
      <c r="V11" s="34">
        <v>-40</v>
      </c>
    </row>
    <row r="12" spans="5:22" x14ac:dyDescent="0.3">
      <c r="U12" s="27" t="s">
        <v>4</v>
      </c>
      <c r="V12" s="34">
        <v>-39.97</v>
      </c>
    </row>
    <row r="13" spans="5:22" x14ac:dyDescent="0.3">
      <c r="U13" s="27" t="s">
        <v>3</v>
      </c>
      <c r="V13" s="34">
        <v>-70</v>
      </c>
    </row>
    <row r="14" spans="5:22" x14ac:dyDescent="0.3">
      <c r="U14" s="27" t="s">
        <v>16</v>
      </c>
      <c r="V14" s="34">
        <v>1400</v>
      </c>
    </row>
    <row r="15" spans="5:22" x14ac:dyDescent="0.3">
      <c r="U15" s="27" t="s">
        <v>10</v>
      </c>
      <c r="V15" s="34">
        <v>945</v>
      </c>
    </row>
    <row r="16" spans="5:22" x14ac:dyDescent="0.3">
      <c r="U16" s="27" t="s">
        <v>8</v>
      </c>
      <c r="V16" s="34">
        <v>-155</v>
      </c>
    </row>
    <row r="17" spans="21:22" x14ac:dyDescent="0.3">
      <c r="U17" s="27" t="s">
        <v>6</v>
      </c>
      <c r="V17" s="34">
        <v>-3</v>
      </c>
    </row>
    <row r="18" spans="21:22" x14ac:dyDescent="0.3">
      <c r="U18" s="27" t="s">
        <v>9</v>
      </c>
      <c r="V18" s="34">
        <v>-150</v>
      </c>
    </row>
    <row r="19" spans="21:22" x14ac:dyDescent="0.3">
      <c r="U19" s="28" t="s">
        <v>50</v>
      </c>
      <c r="V19" s="35">
        <v>123.61769230769231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8" tint="-0.499984740745262"/>
  </sheetPr>
  <dimension ref="A1:DE23"/>
  <sheetViews>
    <sheetView showGridLines="0" tabSelected="1" zoomScaleNormal="100" workbookViewId="0">
      <selection activeCell="E26" sqref="E26"/>
    </sheetView>
  </sheetViews>
  <sheetFormatPr baseColWidth="10" defaultRowHeight="14.4" x14ac:dyDescent="0.3"/>
  <cols>
    <col min="1" max="1" width="0.6640625" style="61" customWidth="1"/>
    <col min="2" max="2" width="27.77734375" style="61" customWidth="1"/>
    <col min="3" max="3" width="1.33203125" style="71" customWidth="1"/>
    <col min="4" max="4" width="11.44140625" style="72"/>
    <col min="5" max="33" width="11.44140625" style="73"/>
    <col min="34" max="109" width="11.44140625" style="1"/>
  </cols>
  <sheetData>
    <row r="1" spans="1:109" s="4" customFormat="1" ht="24.45" customHeight="1" x14ac:dyDescent="0.45">
      <c r="A1" s="65" t="s">
        <v>64</v>
      </c>
      <c r="B1" s="66"/>
      <c r="C1" s="67"/>
      <c r="D1" s="75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</row>
    <row r="2" spans="1:109" ht="63" customHeight="1" x14ac:dyDescent="0.3">
      <c r="C2" s="44"/>
      <c r="D2" s="69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</row>
    <row r="3" spans="1:109" ht="18" customHeight="1" x14ac:dyDescent="0.3">
      <c r="C3" s="44"/>
      <c r="D3" s="69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</row>
    <row r="8" spans="1:109" s="1" customFormat="1" x14ac:dyDescent="0.3">
      <c r="A8" s="62"/>
      <c r="B8" s="62"/>
      <c r="C8" s="73"/>
      <c r="D8" s="72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</row>
    <row r="9" spans="1:109" x14ac:dyDescent="0.3">
      <c r="A9" s="62"/>
      <c r="B9" s="62"/>
    </row>
    <row r="15" spans="1:109" s="1" customFormat="1" x14ac:dyDescent="0.3">
      <c r="A15" s="62"/>
      <c r="B15" s="62"/>
      <c r="C15" s="73"/>
      <c r="D15" s="72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</row>
    <row r="16" spans="1:109" x14ac:dyDescent="0.3">
      <c r="A16" s="62"/>
      <c r="B16" s="62"/>
    </row>
    <row r="23" spans="7:7" x14ac:dyDescent="0.3">
      <c r="G23" s="74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Inicio</vt:lpstr>
      <vt:lpstr>Configurar</vt:lpstr>
      <vt:lpstr>Diario</vt:lpstr>
      <vt:lpstr>Seguimiento mensual</vt:lpstr>
      <vt:lpstr>Hoja1</vt:lpstr>
      <vt:lpstr>Dashboard</vt:lpstr>
      <vt:lpstr>zoom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claravega@temporaconsultores.com</dc:creator>
  <cp:lastModifiedBy>Flavia</cp:lastModifiedBy>
  <cp:revision>1</cp:revision>
  <cp:lastPrinted>1601-01-01T00:00:00Z</cp:lastPrinted>
  <dcterms:created xsi:type="dcterms:W3CDTF">2020-08-26T14:06:10Z</dcterms:created>
  <dcterms:modified xsi:type="dcterms:W3CDTF">2025-01-14T15:25:56Z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</Properties>
</file>